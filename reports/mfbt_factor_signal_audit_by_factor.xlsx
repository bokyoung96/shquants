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momentum" sheetId="1" state="visible" r:id="rId1"/>
    <sheet name="earnings_momentum" sheetId="2" state="visible" r:id="rId2"/>
    <sheet name="dividend_yield" sheetId="3" state="visible" r:id="rId3"/>
    <sheet name="retail_flow" sheetId="4" state="visible" r:id="rId4"/>
    <sheet name="val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4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price_momentum 계산 과정</t>
        </is>
      </c>
    </row>
    <row r="2">
      <c r="A2" t="inlineStr">
        <is>
          <t>신호일</t>
        </is>
      </c>
      <c r="B2" s="2" t="n">
        <v>46142</v>
      </c>
      <c r="C2" t="inlineStr">
        <is>
          <t>공통 signal_date 수</t>
        </is>
      </c>
      <c r="D2" t="n">
        <v>301</v>
      </c>
    </row>
    <row r="3"/>
    <row r="4">
      <c r="A4" s="3" t="inlineStr">
        <is>
          <t>종목명</t>
        </is>
      </c>
      <c r="B4" s="3" t="inlineStr">
        <is>
          <t>티커</t>
        </is>
      </c>
      <c r="C4" s="3" t="inlineStr">
        <is>
          <t>신호일 종가</t>
        </is>
      </c>
      <c r="D4" s="3" t="inlineStr">
        <is>
          <t>252일 종가고가 수식</t>
        </is>
      </c>
      <c r="E4" s="3" t="inlineStr">
        <is>
          <t>비율 수식</t>
        </is>
      </c>
      <c r="F4" s="3" t="inlineStr">
        <is>
          <t>score 수식</t>
        </is>
      </c>
      <c r="G4" s="3" t="inlineStr">
        <is>
          <t>score 코드</t>
        </is>
      </c>
      <c r="H4" s="3" t="inlineStr">
        <is>
          <t>판정</t>
        </is>
      </c>
    </row>
    <row r="5">
      <c r="A5" t="inlineStr">
        <is>
          <t>삼성전자</t>
        </is>
      </c>
      <c r="B5" t="inlineStr">
        <is>
          <t>A005930</t>
        </is>
      </c>
      <c r="C5" t="n">
        <v>220500</v>
      </c>
      <c r="D5" s="4">
        <f>MAX($D$9:$D$260)</f>
        <v/>
      </c>
      <c r="E5" s="4">
        <f>IFERROR(C5/D5,NA())</f>
        <v/>
      </c>
      <c r="F5" s="4">
        <f>IF(E5&gt;0.8,1,0)</f>
        <v/>
      </c>
      <c r="G5" t="n">
        <v>1</v>
      </c>
      <c r="H5" t="inlineStr">
        <is>
          <t>통과</t>
        </is>
      </c>
    </row>
    <row r="6">
      <c r="A6" t="inlineStr">
        <is>
          <t>SK하이닉스</t>
        </is>
      </c>
      <c r="B6" t="inlineStr">
        <is>
          <t>A000660</t>
        </is>
      </c>
      <c r="C6" t="n">
        <v>1286000</v>
      </c>
      <c r="D6" s="4">
        <f>MAX($D$261:$D$512)</f>
        <v/>
      </c>
      <c r="E6" s="4">
        <f>IFERROR(C6/D6,NA())</f>
        <v/>
      </c>
      <c r="F6" s="4">
        <f>IF(E6&gt;0.8,1,0)</f>
        <v/>
      </c>
      <c r="G6" t="n">
        <v>1</v>
      </c>
      <c r="H6" t="inlineStr">
        <is>
          <t>통과</t>
        </is>
      </c>
    </row>
    <row r="7"/>
    <row r="8">
      <c r="A8" s="5" t="inlineStr">
        <is>
          <t>종목명</t>
        </is>
      </c>
      <c r="B8" s="5" t="inlineStr">
        <is>
          <t>티커</t>
        </is>
      </c>
      <c r="C8" s="5" t="inlineStr">
        <is>
          <t>raw_date</t>
        </is>
      </c>
      <c r="D8" s="5" t="inlineStr">
        <is>
          <t>raw_close</t>
        </is>
      </c>
      <c r="E8" s="5" t="inlineStr">
        <is>
          <t>누적고가 수식</t>
        </is>
      </c>
      <c r="F8" s="5" t="inlineStr">
        <is>
          <t>최종고가일 수식</t>
        </is>
      </c>
    </row>
    <row r="9">
      <c r="A9" s="6" t="inlineStr">
        <is>
          <t>삼성전자</t>
        </is>
      </c>
      <c r="B9" s="6" t="inlineStr">
        <is>
          <t>A005930</t>
        </is>
      </c>
      <c r="C9" s="7" t="n">
        <v>45765</v>
      </c>
      <c r="D9" s="6" t="n">
        <v>55300</v>
      </c>
      <c r="E9" s="8">
        <f>MAX($D$9:D9)</f>
        <v/>
      </c>
      <c r="F9" s="8">
        <f>D9=MAX($D$9:$D$260)</f>
        <v/>
      </c>
    </row>
    <row r="10">
      <c r="A10" s="6" t="inlineStr">
        <is>
          <t>삼성전자</t>
        </is>
      </c>
      <c r="B10" s="6" t="inlineStr">
        <is>
          <t>A005930</t>
        </is>
      </c>
      <c r="C10" s="7" t="n">
        <v>45768</v>
      </c>
      <c r="D10" s="6" t="n">
        <v>55400</v>
      </c>
      <c r="E10" s="8">
        <f>MAX($D$9:D10)</f>
        <v/>
      </c>
      <c r="F10" s="8">
        <f>D10=MAX($D$9:$D$260)</f>
        <v/>
      </c>
    </row>
    <row r="11">
      <c r="A11" s="6" t="inlineStr">
        <is>
          <t>삼성전자</t>
        </is>
      </c>
      <c r="B11" s="6" t="inlineStr">
        <is>
          <t>A005930</t>
        </is>
      </c>
      <c r="C11" s="7" t="n">
        <v>45769</v>
      </c>
      <c r="D11" s="6" t="n">
        <v>55000</v>
      </c>
      <c r="E11" s="8">
        <f>MAX($D$9:D11)</f>
        <v/>
      </c>
      <c r="F11" s="8">
        <f>D11=MAX($D$9:$D$260)</f>
        <v/>
      </c>
    </row>
    <row r="12">
      <c r="A12" s="6" t="inlineStr">
        <is>
          <t>삼성전자</t>
        </is>
      </c>
      <c r="B12" s="6" t="inlineStr">
        <is>
          <t>A005930</t>
        </is>
      </c>
      <c r="C12" s="7" t="n">
        <v>45770</v>
      </c>
      <c r="D12" s="6" t="n">
        <v>55700</v>
      </c>
      <c r="E12" s="8">
        <f>MAX($D$9:D12)</f>
        <v/>
      </c>
      <c r="F12" s="8">
        <f>D12=MAX($D$9:$D$260)</f>
        <v/>
      </c>
    </row>
    <row r="13">
      <c r="A13" s="6" t="inlineStr">
        <is>
          <t>삼성전자</t>
        </is>
      </c>
      <c r="B13" s="6" t="inlineStr">
        <is>
          <t>A005930</t>
        </is>
      </c>
      <c r="C13" s="7" t="n">
        <v>45771</v>
      </c>
      <c r="D13" s="6" t="n">
        <v>55700</v>
      </c>
      <c r="E13" s="8">
        <f>MAX($D$9:D13)</f>
        <v/>
      </c>
      <c r="F13" s="8">
        <f>D13=MAX($D$9:$D$260)</f>
        <v/>
      </c>
    </row>
    <row r="14">
      <c r="A14" s="6" t="inlineStr">
        <is>
          <t>삼성전자</t>
        </is>
      </c>
      <c r="B14" s="6" t="inlineStr">
        <is>
          <t>A005930</t>
        </is>
      </c>
      <c r="C14" s="7" t="n">
        <v>45772</v>
      </c>
      <c r="D14" s="6" t="n">
        <v>55700</v>
      </c>
      <c r="E14" s="8">
        <f>MAX($D$9:D14)</f>
        <v/>
      </c>
      <c r="F14" s="8">
        <f>D14=MAX($D$9:$D$260)</f>
        <v/>
      </c>
    </row>
    <row r="15">
      <c r="A15" s="6" t="inlineStr">
        <is>
          <t>삼성전자</t>
        </is>
      </c>
      <c r="B15" s="6" t="inlineStr">
        <is>
          <t>A005930</t>
        </is>
      </c>
      <c r="C15" s="7" t="n">
        <v>45775</v>
      </c>
      <c r="D15" s="6" t="n">
        <v>55800</v>
      </c>
      <c r="E15" s="8">
        <f>MAX($D$9:D15)</f>
        <v/>
      </c>
      <c r="F15" s="8">
        <f>D15=MAX($D$9:$D$260)</f>
        <v/>
      </c>
    </row>
    <row r="16">
      <c r="A16" s="6" t="inlineStr">
        <is>
          <t>삼성전자</t>
        </is>
      </c>
      <c r="B16" s="6" t="inlineStr">
        <is>
          <t>A005930</t>
        </is>
      </c>
      <c r="C16" s="7" t="n">
        <v>45776</v>
      </c>
      <c r="D16" s="6" t="n">
        <v>55800</v>
      </c>
      <c r="E16" s="8">
        <f>MAX($D$9:D16)</f>
        <v/>
      </c>
      <c r="F16" s="8">
        <f>D16=MAX($D$9:$D$260)</f>
        <v/>
      </c>
    </row>
    <row r="17">
      <c r="A17" s="6" t="inlineStr">
        <is>
          <t>삼성전자</t>
        </is>
      </c>
      <c r="B17" s="6" t="inlineStr">
        <is>
          <t>A005930</t>
        </is>
      </c>
      <c r="C17" s="7" t="n">
        <v>45777</v>
      </c>
      <c r="D17" s="6" t="n">
        <v>55500</v>
      </c>
      <c r="E17" s="8">
        <f>MAX($D$9:D17)</f>
        <v/>
      </c>
      <c r="F17" s="8">
        <f>D17=MAX($D$9:$D$260)</f>
        <v/>
      </c>
    </row>
    <row r="18">
      <c r="A18" s="6" t="inlineStr">
        <is>
          <t>삼성전자</t>
        </is>
      </c>
      <c r="B18" s="6" t="inlineStr">
        <is>
          <t>A005930</t>
        </is>
      </c>
      <c r="C18" s="7" t="n">
        <v>45779</v>
      </c>
      <c r="D18" s="6" t="n">
        <v>54300</v>
      </c>
      <c r="E18" s="8">
        <f>MAX($D$9:D18)</f>
        <v/>
      </c>
      <c r="F18" s="8">
        <f>D18=MAX($D$9:$D$260)</f>
        <v/>
      </c>
    </row>
    <row r="19">
      <c r="A19" s="6" t="inlineStr">
        <is>
          <t>삼성전자</t>
        </is>
      </c>
      <c r="B19" s="6" t="inlineStr">
        <is>
          <t>A005930</t>
        </is>
      </c>
      <c r="C19" s="7" t="n">
        <v>45784</v>
      </c>
      <c r="D19" s="6" t="n">
        <v>54600</v>
      </c>
      <c r="E19" s="8">
        <f>MAX($D$9:D19)</f>
        <v/>
      </c>
      <c r="F19" s="8">
        <f>D19=MAX($D$9:$D$260)</f>
        <v/>
      </c>
    </row>
    <row r="20">
      <c r="A20" s="6" t="inlineStr">
        <is>
          <t>삼성전자</t>
        </is>
      </c>
      <c r="B20" s="6" t="inlineStr">
        <is>
          <t>A005930</t>
        </is>
      </c>
      <c r="C20" s="7" t="n">
        <v>45785</v>
      </c>
      <c r="D20" s="6" t="n">
        <v>54600</v>
      </c>
      <c r="E20" s="8">
        <f>MAX($D$9:D20)</f>
        <v/>
      </c>
      <c r="F20" s="8">
        <f>D20=MAX($D$9:$D$260)</f>
        <v/>
      </c>
    </row>
    <row r="21">
      <c r="A21" s="6" t="inlineStr">
        <is>
          <t>삼성전자</t>
        </is>
      </c>
      <c r="B21" s="6" t="inlineStr">
        <is>
          <t>A005930</t>
        </is>
      </c>
      <c r="C21" s="7" t="n">
        <v>45786</v>
      </c>
      <c r="D21" s="6" t="n">
        <v>54800</v>
      </c>
      <c r="E21" s="8">
        <f>MAX($D$9:D21)</f>
        <v/>
      </c>
      <c r="F21" s="8">
        <f>D21=MAX($D$9:$D$260)</f>
        <v/>
      </c>
    </row>
    <row r="22">
      <c r="A22" s="6" t="inlineStr">
        <is>
          <t>삼성전자</t>
        </is>
      </c>
      <c r="B22" s="6" t="inlineStr">
        <is>
          <t>A005930</t>
        </is>
      </c>
      <c r="C22" s="7" t="n">
        <v>45789</v>
      </c>
      <c r="D22" s="6" t="n">
        <v>57600</v>
      </c>
      <c r="E22" s="8">
        <f>MAX($D$9:D22)</f>
        <v/>
      </c>
      <c r="F22" s="8">
        <f>D22=MAX($D$9:$D$260)</f>
        <v/>
      </c>
    </row>
    <row r="23">
      <c r="A23" s="6" t="inlineStr">
        <is>
          <t>삼성전자</t>
        </is>
      </c>
      <c r="B23" s="6" t="inlineStr">
        <is>
          <t>A005930</t>
        </is>
      </c>
      <c r="C23" s="7" t="n">
        <v>45790</v>
      </c>
      <c r="D23" s="6" t="n">
        <v>56900</v>
      </c>
      <c r="E23" s="8">
        <f>MAX($D$9:D23)</f>
        <v/>
      </c>
      <c r="F23" s="8">
        <f>D23=MAX($D$9:$D$260)</f>
        <v/>
      </c>
    </row>
    <row r="24">
      <c r="A24" s="6" t="inlineStr">
        <is>
          <t>삼성전자</t>
        </is>
      </c>
      <c r="B24" s="6" t="inlineStr">
        <is>
          <t>A005930</t>
        </is>
      </c>
      <c r="C24" s="7" t="n">
        <v>45791</v>
      </c>
      <c r="D24" s="6" t="n">
        <v>57400</v>
      </c>
      <c r="E24" s="8">
        <f>MAX($D$9:D24)</f>
        <v/>
      </c>
      <c r="F24" s="8">
        <f>D24=MAX($D$9:$D$260)</f>
        <v/>
      </c>
    </row>
    <row r="25">
      <c r="A25" s="6" t="inlineStr">
        <is>
          <t>삼성전자</t>
        </is>
      </c>
      <c r="B25" s="6" t="inlineStr">
        <is>
          <t>A005930</t>
        </is>
      </c>
      <c r="C25" s="7" t="n">
        <v>45792</v>
      </c>
      <c r="D25" s="6" t="n">
        <v>57300</v>
      </c>
      <c r="E25" s="8">
        <f>MAX($D$9:D25)</f>
        <v/>
      </c>
      <c r="F25" s="8">
        <f>D25=MAX($D$9:$D$260)</f>
        <v/>
      </c>
    </row>
    <row r="26">
      <c r="A26" s="6" t="inlineStr">
        <is>
          <t>삼성전자</t>
        </is>
      </c>
      <c r="B26" s="6" t="inlineStr">
        <is>
          <t>A005930</t>
        </is>
      </c>
      <c r="C26" s="7" t="n">
        <v>45793</v>
      </c>
      <c r="D26" s="6" t="n">
        <v>56800</v>
      </c>
      <c r="E26" s="8">
        <f>MAX($D$9:D26)</f>
        <v/>
      </c>
      <c r="F26" s="8">
        <f>D26=MAX($D$9:$D$260)</f>
        <v/>
      </c>
    </row>
    <row r="27">
      <c r="A27" s="6" t="inlineStr">
        <is>
          <t>삼성전자</t>
        </is>
      </c>
      <c r="B27" s="6" t="inlineStr">
        <is>
          <t>A005930</t>
        </is>
      </c>
      <c r="C27" s="7" t="n">
        <v>45796</v>
      </c>
      <c r="D27" s="6" t="n">
        <v>55800</v>
      </c>
      <c r="E27" s="8">
        <f>MAX($D$9:D27)</f>
        <v/>
      </c>
      <c r="F27" s="8">
        <f>D27=MAX($D$9:$D$260)</f>
        <v/>
      </c>
    </row>
    <row r="28">
      <c r="A28" s="6" t="inlineStr">
        <is>
          <t>삼성전자</t>
        </is>
      </c>
      <c r="B28" s="6" t="inlineStr">
        <is>
          <t>A005930</t>
        </is>
      </c>
      <c r="C28" s="7" t="n">
        <v>45797</v>
      </c>
      <c r="D28" s="6" t="n">
        <v>55900</v>
      </c>
      <c r="E28" s="8">
        <f>MAX($D$9:D28)</f>
        <v/>
      </c>
      <c r="F28" s="8">
        <f>D28=MAX($D$9:$D$260)</f>
        <v/>
      </c>
    </row>
    <row r="29">
      <c r="A29" s="6" t="inlineStr">
        <is>
          <t>삼성전자</t>
        </is>
      </c>
      <c r="B29" s="6" t="inlineStr">
        <is>
          <t>A005930</t>
        </is>
      </c>
      <c r="C29" s="7" t="n">
        <v>45798</v>
      </c>
      <c r="D29" s="6" t="n">
        <v>55700</v>
      </c>
      <c r="E29" s="8">
        <f>MAX($D$9:D29)</f>
        <v/>
      </c>
      <c r="F29" s="8">
        <f>D29=MAX($D$9:$D$260)</f>
        <v/>
      </c>
    </row>
    <row r="30">
      <c r="A30" s="6" t="inlineStr">
        <is>
          <t>삼성전자</t>
        </is>
      </c>
      <c r="B30" s="6" t="inlineStr">
        <is>
          <t>A005930</t>
        </is>
      </c>
      <c r="C30" s="7" t="n">
        <v>45799</v>
      </c>
      <c r="D30" s="6" t="n">
        <v>54700</v>
      </c>
      <c r="E30" s="8">
        <f>MAX($D$9:D30)</f>
        <v/>
      </c>
      <c r="F30" s="8">
        <f>D30=MAX($D$9:$D$260)</f>
        <v/>
      </c>
    </row>
    <row r="31">
      <c r="A31" s="6" t="inlineStr">
        <is>
          <t>삼성전자</t>
        </is>
      </c>
      <c r="B31" s="6" t="inlineStr">
        <is>
          <t>A005930</t>
        </is>
      </c>
      <c r="C31" s="7" t="n">
        <v>45800</v>
      </c>
      <c r="D31" s="6" t="n">
        <v>54200</v>
      </c>
      <c r="E31" s="8">
        <f>MAX($D$9:D31)</f>
        <v/>
      </c>
      <c r="F31" s="8">
        <f>D31=MAX($D$9:$D$260)</f>
        <v/>
      </c>
    </row>
    <row r="32">
      <c r="A32" s="6" t="inlineStr">
        <is>
          <t>삼성전자</t>
        </is>
      </c>
      <c r="B32" s="6" t="inlineStr">
        <is>
          <t>A005930</t>
        </is>
      </c>
      <c r="C32" s="7" t="n">
        <v>45803</v>
      </c>
      <c r="D32" s="6" t="n">
        <v>54700</v>
      </c>
      <c r="E32" s="8">
        <f>MAX($D$9:D32)</f>
        <v/>
      </c>
      <c r="F32" s="8">
        <f>D32=MAX($D$9:$D$260)</f>
        <v/>
      </c>
    </row>
    <row r="33">
      <c r="A33" s="6" t="inlineStr">
        <is>
          <t>삼성전자</t>
        </is>
      </c>
      <c r="B33" s="6" t="inlineStr">
        <is>
          <t>A005930</t>
        </is>
      </c>
      <c r="C33" s="7" t="n">
        <v>45804</v>
      </c>
      <c r="D33" s="6" t="n">
        <v>53900</v>
      </c>
      <c r="E33" s="8">
        <f>MAX($D$9:D33)</f>
        <v/>
      </c>
      <c r="F33" s="8">
        <f>D33=MAX($D$9:$D$260)</f>
        <v/>
      </c>
    </row>
    <row r="34">
      <c r="A34" s="6" t="inlineStr">
        <is>
          <t>삼성전자</t>
        </is>
      </c>
      <c r="B34" s="6" t="inlineStr">
        <is>
          <t>A005930</t>
        </is>
      </c>
      <c r="C34" s="7" t="n">
        <v>45805</v>
      </c>
      <c r="D34" s="6" t="n">
        <v>55900</v>
      </c>
      <c r="E34" s="8">
        <f>MAX($D$9:D34)</f>
        <v/>
      </c>
      <c r="F34" s="8">
        <f>D34=MAX($D$9:$D$260)</f>
        <v/>
      </c>
    </row>
    <row r="35">
      <c r="A35" s="6" t="inlineStr">
        <is>
          <t>삼성전자</t>
        </is>
      </c>
      <c r="B35" s="6" t="inlineStr">
        <is>
          <t>A005930</t>
        </is>
      </c>
      <c r="C35" s="7" t="n">
        <v>45806</v>
      </c>
      <c r="D35" s="6" t="n">
        <v>56100</v>
      </c>
      <c r="E35" s="8">
        <f>MAX($D$9:D35)</f>
        <v/>
      </c>
      <c r="F35" s="8">
        <f>D35=MAX($D$9:$D$260)</f>
        <v/>
      </c>
    </row>
    <row r="36">
      <c r="A36" s="6" t="inlineStr">
        <is>
          <t>삼성전자</t>
        </is>
      </c>
      <c r="B36" s="6" t="inlineStr">
        <is>
          <t>A005930</t>
        </is>
      </c>
      <c r="C36" s="7" t="n">
        <v>45807</v>
      </c>
      <c r="D36" s="6" t="n">
        <v>56200</v>
      </c>
      <c r="E36" s="8">
        <f>MAX($D$9:D36)</f>
        <v/>
      </c>
      <c r="F36" s="8">
        <f>D36=MAX($D$9:$D$260)</f>
        <v/>
      </c>
    </row>
    <row r="37">
      <c r="A37" s="6" t="inlineStr">
        <is>
          <t>삼성전자</t>
        </is>
      </c>
      <c r="B37" s="6" t="inlineStr">
        <is>
          <t>A005930</t>
        </is>
      </c>
      <c r="C37" s="7" t="n">
        <v>45810</v>
      </c>
      <c r="D37" s="6" t="n">
        <v>56800</v>
      </c>
      <c r="E37" s="8">
        <f>MAX($D$9:D37)</f>
        <v/>
      </c>
      <c r="F37" s="8">
        <f>D37=MAX($D$9:$D$260)</f>
        <v/>
      </c>
    </row>
    <row r="38">
      <c r="A38" s="6" t="inlineStr">
        <is>
          <t>삼성전자</t>
        </is>
      </c>
      <c r="B38" s="6" t="inlineStr">
        <is>
          <t>A005930</t>
        </is>
      </c>
      <c r="C38" s="7" t="n">
        <v>45812</v>
      </c>
      <c r="D38" s="6" t="n">
        <v>57800</v>
      </c>
      <c r="E38" s="8">
        <f>MAX($D$9:D38)</f>
        <v/>
      </c>
      <c r="F38" s="8">
        <f>D38=MAX($D$9:$D$260)</f>
        <v/>
      </c>
    </row>
    <row r="39">
      <c r="A39" s="6" t="inlineStr">
        <is>
          <t>삼성전자</t>
        </is>
      </c>
      <c r="B39" s="6" t="inlineStr">
        <is>
          <t>A005930</t>
        </is>
      </c>
      <c r="C39" s="7" t="n">
        <v>45813</v>
      </c>
      <c r="D39" s="6" t="n">
        <v>59100</v>
      </c>
      <c r="E39" s="8">
        <f>MAX($D$9:D39)</f>
        <v/>
      </c>
      <c r="F39" s="8">
        <f>D39=MAX($D$9:$D$260)</f>
        <v/>
      </c>
    </row>
    <row r="40">
      <c r="A40" s="6" t="inlineStr">
        <is>
          <t>삼성전자</t>
        </is>
      </c>
      <c r="B40" s="6" t="inlineStr">
        <is>
          <t>A005930</t>
        </is>
      </c>
      <c r="C40" s="7" t="n">
        <v>45817</v>
      </c>
      <c r="D40" s="6" t="n">
        <v>59800</v>
      </c>
      <c r="E40" s="8">
        <f>MAX($D$9:D40)</f>
        <v/>
      </c>
      <c r="F40" s="8">
        <f>D40=MAX($D$9:$D$260)</f>
        <v/>
      </c>
    </row>
    <row r="41">
      <c r="A41" s="6" t="inlineStr">
        <is>
          <t>삼성전자</t>
        </is>
      </c>
      <c r="B41" s="6" t="inlineStr">
        <is>
          <t>A005930</t>
        </is>
      </c>
      <c r="C41" s="7" t="n">
        <v>45818</v>
      </c>
      <c r="D41" s="6" t="n">
        <v>59200</v>
      </c>
      <c r="E41" s="8">
        <f>MAX($D$9:D41)</f>
        <v/>
      </c>
      <c r="F41" s="8">
        <f>D41=MAX($D$9:$D$260)</f>
        <v/>
      </c>
    </row>
    <row r="42">
      <c r="A42" s="6" t="inlineStr">
        <is>
          <t>삼성전자</t>
        </is>
      </c>
      <c r="B42" s="6" t="inlineStr">
        <is>
          <t>A005930</t>
        </is>
      </c>
      <c r="C42" s="7" t="n">
        <v>45819</v>
      </c>
      <c r="D42" s="6" t="n">
        <v>59900</v>
      </c>
      <c r="E42" s="8">
        <f>MAX($D$9:D42)</f>
        <v/>
      </c>
      <c r="F42" s="8">
        <f>D42=MAX($D$9:$D$260)</f>
        <v/>
      </c>
    </row>
    <row r="43">
      <c r="A43" s="6" t="inlineStr">
        <is>
          <t>삼성전자</t>
        </is>
      </c>
      <c r="B43" s="6" t="inlineStr">
        <is>
          <t>A005930</t>
        </is>
      </c>
      <c r="C43" s="7" t="n">
        <v>45820</v>
      </c>
      <c r="D43" s="6" t="n">
        <v>59500</v>
      </c>
      <c r="E43" s="8">
        <f>MAX($D$9:D43)</f>
        <v/>
      </c>
      <c r="F43" s="8">
        <f>D43=MAX($D$9:$D$260)</f>
        <v/>
      </c>
    </row>
    <row r="44">
      <c r="A44" s="6" t="inlineStr">
        <is>
          <t>삼성전자</t>
        </is>
      </c>
      <c r="B44" s="6" t="inlineStr">
        <is>
          <t>A005930</t>
        </is>
      </c>
      <c r="C44" s="7" t="n">
        <v>45821</v>
      </c>
      <c r="D44" s="6" t="n">
        <v>58300</v>
      </c>
      <c r="E44" s="8">
        <f>MAX($D$9:D44)</f>
        <v/>
      </c>
      <c r="F44" s="8">
        <f>D44=MAX($D$9:$D$260)</f>
        <v/>
      </c>
    </row>
    <row r="45">
      <c r="A45" s="6" t="inlineStr">
        <is>
          <t>삼성전자</t>
        </is>
      </c>
      <c r="B45" s="6" t="inlineStr">
        <is>
          <t>A005930</t>
        </is>
      </c>
      <c r="C45" s="7" t="n">
        <v>45824</v>
      </c>
      <c r="D45" s="6" t="n">
        <v>57200</v>
      </c>
      <c r="E45" s="8">
        <f>MAX($D$9:D45)</f>
        <v/>
      </c>
      <c r="F45" s="8">
        <f>D45=MAX($D$9:$D$260)</f>
        <v/>
      </c>
    </row>
    <row r="46">
      <c r="A46" s="6" t="inlineStr">
        <is>
          <t>삼성전자</t>
        </is>
      </c>
      <c r="B46" s="6" t="inlineStr">
        <is>
          <t>A005930</t>
        </is>
      </c>
      <c r="C46" s="7" t="n">
        <v>45825</v>
      </c>
      <c r="D46" s="6" t="n">
        <v>58100</v>
      </c>
      <c r="E46" s="8">
        <f>MAX($D$9:D46)</f>
        <v/>
      </c>
      <c r="F46" s="8">
        <f>D46=MAX($D$9:$D$260)</f>
        <v/>
      </c>
    </row>
    <row r="47">
      <c r="A47" s="6" t="inlineStr">
        <is>
          <t>삼성전자</t>
        </is>
      </c>
      <c r="B47" s="6" t="inlineStr">
        <is>
          <t>A005930</t>
        </is>
      </c>
      <c r="C47" s="7" t="n">
        <v>45826</v>
      </c>
      <c r="D47" s="6" t="n">
        <v>59800</v>
      </c>
      <c r="E47" s="8">
        <f>MAX($D$9:D47)</f>
        <v/>
      </c>
      <c r="F47" s="8">
        <f>D47=MAX($D$9:$D$260)</f>
        <v/>
      </c>
    </row>
    <row r="48">
      <c r="A48" s="6" t="inlineStr">
        <is>
          <t>삼성전자</t>
        </is>
      </c>
      <c r="B48" s="6" t="inlineStr">
        <is>
          <t>A005930</t>
        </is>
      </c>
      <c r="C48" s="7" t="n">
        <v>45827</v>
      </c>
      <c r="D48" s="6" t="n">
        <v>59200</v>
      </c>
      <c r="E48" s="8">
        <f>MAX($D$9:D48)</f>
        <v/>
      </c>
      <c r="F48" s="8">
        <f>D48=MAX($D$9:$D$260)</f>
        <v/>
      </c>
    </row>
    <row r="49">
      <c r="A49" s="6" t="inlineStr">
        <is>
          <t>삼성전자</t>
        </is>
      </c>
      <c r="B49" s="6" t="inlineStr">
        <is>
          <t>A005930</t>
        </is>
      </c>
      <c r="C49" s="7" t="n">
        <v>45828</v>
      </c>
      <c r="D49" s="6" t="n">
        <v>59500</v>
      </c>
      <c r="E49" s="8">
        <f>MAX($D$9:D49)</f>
        <v/>
      </c>
      <c r="F49" s="8">
        <f>D49=MAX($D$9:$D$260)</f>
        <v/>
      </c>
    </row>
    <row r="50">
      <c r="A50" s="6" t="inlineStr">
        <is>
          <t>삼성전자</t>
        </is>
      </c>
      <c r="B50" s="6" t="inlineStr">
        <is>
          <t>A005930</t>
        </is>
      </c>
      <c r="C50" s="7" t="n">
        <v>45831</v>
      </c>
      <c r="D50" s="6" t="n">
        <v>58000</v>
      </c>
      <c r="E50" s="8">
        <f>MAX($D$9:D50)</f>
        <v/>
      </c>
      <c r="F50" s="8">
        <f>D50=MAX($D$9:$D$260)</f>
        <v/>
      </c>
    </row>
    <row r="51">
      <c r="A51" s="6" t="inlineStr">
        <is>
          <t>삼성전자</t>
        </is>
      </c>
      <c r="B51" s="6" t="inlineStr">
        <is>
          <t>A005930</t>
        </is>
      </c>
      <c r="C51" s="7" t="n">
        <v>45832</v>
      </c>
      <c r="D51" s="6" t="n">
        <v>60500</v>
      </c>
      <c r="E51" s="8">
        <f>MAX($D$9:D51)</f>
        <v/>
      </c>
      <c r="F51" s="8">
        <f>D51=MAX($D$9:$D$260)</f>
        <v/>
      </c>
    </row>
    <row r="52">
      <c r="A52" s="6" t="inlineStr">
        <is>
          <t>삼성전자</t>
        </is>
      </c>
      <c r="B52" s="6" t="inlineStr">
        <is>
          <t>A005930</t>
        </is>
      </c>
      <c r="C52" s="7" t="n">
        <v>45833</v>
      </c>
      <c r="D52" s="6" t="n">
        <v>61300</v>
      </c>
      <c r="E52" s="8">
        <f>MAX($D$9:D52)</f>
        <v/>
      </c>
      <c r="F52" s="8">
        <f>D52=MAX($D$9:$D$260)</f>
        <v/>
      </c>
    </row>
    <row r="53">
      <c r="A53" s="6" t="inlineStr">
        <is>
          <t>삼성전자</t>
        </is>
      </c>
      <c r="B53" s="6" t="inlineStr">
        <is>
          <t>A005930</t>
        </is>
      </c>
      <c r="C53" s="7" t="n">
        <v>45834</v>
      </c>
      <c r="D53" s="6" t="n">
        <v>60200</v>
      </c>
      <c r="E53" s="8">
        <f>MAX($D$9:D53)</f>
        <v/>
      </c>
      <c r="F53" s="8">
        <f>D53=MAX($D$9:$D$260)</f>
        <v/>
      </c>
    </row>
    <row r="54">
      <c r="A54" s="6" t="inlineStr">
        <is>
          <t>삼성전자</t>
        </is>
      </c>
      <c r="B54" s="6" t="inlineStr">
        <is>
          <t>A005930</t>
        </is>
      </c>
      <c r="C54" s="7" t="n">
        <v>45835</v>
      </c>
      <c r="D54" s="6" t="n">
        <v>60800</v>
      </c>
      <c r="E54" s="8">
        <f>MAX($D$9:D54)</f>
        <v/>
      </c>
      <c r="F54" s="8">
        <f>D54=MAX($D$9:$D$260)</f>
        <v/>
      </c>
    </row>
    <row r="55">
      <c r="A55" s="6" t="inlineStr">
        <is>
          <t>삼성전자</t>
        </is>
      </c>
      <c r="B55" s="6" t="inlineStr">
        <is>
          <t>A005930</t>
        </is>
      </c>
      <c r="C55" s="7" t="n">
        <v>45838</v>
      </c>
      <c r="D55" s="6" t="n">
        <v>59800</v>
      </c>
      <c r="E55" s="8">
        <f>MAX($D$9:D55)</f>
        <v/>
      </c>
      <c r="F55" s="8">
        <f>D55=MAX($D$9:$D$260)</f>
        <v/>
      </c>
    </row>
    <row r="56">
      <c r="A56" s="6" t="inlineStr">
        <is>
          <t>삼성전자</t>
        </is>
      </c>
      <c r="B56" s="6" t="inlineStr">
        <is>
          <t>A005930</t>
        </is>
      </c>
      <c r="C56" s="7" t="n">
        <v>45839</v>
      </c>
      <c r="D56" s="6" t="n">
        <v>60200</v>
      </c>
      <c r="E56" s="8">
        <f>MAX($D$9:D56)</f>
        <v/>
      </c>
      <c r="F56" s="8">
        <f>D56=MAX($D$9:$D$260)</f>
        <v/>
      </c>
    </row>
    <row r="57">
      <c r="A57" s="6" t="inlineStr">
        <is>
          <t>삼성전자</t>
        </is>
      </c>
      <c r="B57" s="6" t="inlineStr">
        <is>
          <t>A005930</t>
        </is>
      </c>
      <c r="C57" s="7" t="n">
        <v>45840</v>
      </c>
      <c r="D57" s="6" t="n">
        <v>60800</v>
      </c>
      <c r="E57" s="8">
        <f>MAX($D$9:D57)</f>
        <v/>
      </c>
      <c r="F57" s="8">
        <f>D57=MAX($D$9:$D$260)</f>
        <v/>
      </c>
    </row>
    <row r="58">
      <c r="A58" s="6" t="inlineStr">
        <is>
          <t>삼성전자</t>
        </is>
      </c>
      <c r="B58" s="6" t="inlineStr">
        <is>
          <t>A005930</t>
        </is>
      </c>
      <c r="C58" s="7" t="n">
        <v>45841</v>
      </c>
      <c r="D58" s="6" t="n">
        <v>63800</v>
      </c>
      <c r="E58" s="8">
        <f>MAX($D$9:D58)</f>
        <v/>
      </c>
      <c r="F58" s="8">
        <f>D58=MAX($D$9:$D$260)</f>
        <v/>
      </c>
    </row>
    <row r="59">
      <c r="A59" s="6" t="inlineStr">
        <is>
          <t>삼성전자</t>
        </is>
      </c>
      <c r="B59" s="6" t="inlineStr">
        <is>
          <t>A005930</t>
        </is>
      </c>
      <c r="C59" s="7" t="n">
        <v>45842</v>
      </c>
      <c r="D59" s="6" t="n">
        <v>63300</v>
      </c>
      <c r="E59" s="8">
        <f>MAX($D$9:D59)</f>
        <v/>
      </c>
      <c r="F59" s="8">
        <f>D59=MAX($D$9:$D$260)</f>
        <v/>
      </c>
    </row>
    <row r="60">
      <c r="A60" s="6" t="inlineStr">
        <is>
          <t>삼성전자</t>
        </is>
      </c>
      <c r="B60" s="6" t="inlineStr">
        <is>
          <t>A005930</t>
        </is>
      </c>
      <c r="C60" s="7" t="n">
        <v>45845</v>
      </c>
      <c r="D60" s="6" t="n">
        <v>61700</v>
      </c>
      <c r="E60" s="8">
        <f>MAX($D$9:D60)</f>
        <v/>
      </c>
      <c r="F60" s="8">
        <f>D60=MAX($D$9:$D$260)</f>
        <v/>
      </c>
    </row>
    <row r="61">
      <c r="A61" s="6" t="inlineStr">
        <is>
          <t>삼성전자</t>
        </is>
      </c>
      <c r="B61" s="6" t="inlineStr">
        <is>
          <t>A005930</t>
        </is>
      </c>
      <c r="C61" s="7" t="n">
        <v>45846</v>
      </c>
      <c r="D61" s="6" t="n">
        <v>61400</v>
      </c>
      <c r="E61" s="8">
        <f>MAX($D$9:D61)</f>
        <v/>
      </c>
      <c r="F61" s="8">
        <f>D61=MAX($D$9:$D$260)</f>
        <v/>
      </c>
    </row>
    <row r="62">
      <c r="A62" s="6" t="inlineStr">
        <is>
          <t>삼성전자</t>
        </is>
      </c>
      <c r="B62" s="6" t="inlineStr">
        <is>
          <t>A005930</t>
        </is>
      </c>
      <c r="C62" s="7" t="n">
        <v>45847</v>
      </c>
      <c r="D62" s="6" t="n">
        <v>60400</v>
      </c>
      <c r="E62" s="8">
        <f>MAX($D$9:D62)</f>
        <v/>
      </c>
      <c r="F62" s="8">
        <f>D62=MAX($D$9:$D$260)</f>
        <v/>
      </c>
    </row>
    <row r="63">
      <c r="A63" s="6" t="inlineStr">
        <is>
          <t>삼성전자</t>
        </is>
      </c>
      <c r="B63" s="6" t="inlineStr">
        <is>
          <t>A005930</t>
        </is>
      </c>
      <c r="C63" s="7" t="n">
        <v>45848</v>
      </c>
      <c r="D63" s="6" t="n">
        <v>61000</v>
      </c>
      <c r="E63" s="8">
        <f>MAX($D$9:D63)</f>
        <v/>
      </c>
      <c r="F63" s="8">
        <f>D63=MAX($D$9:$D$260)</f>
        <v/>
      </c>
    </row>
    <row r="64">
      <c r="A64" s="6" t="inlineStr">
        <is>
          <t>삼성전자</t>
        </is>
      </c>
      <c r="B64" s="6" t="inlineStr">
        <is>
          <t>A005930</t>
        </is>
      </c>
      <c r="C64" s="7" t="n">
        <v>45849</v>
      </c>
      <c r="D64" s="6" t="n">
        <v>62600</v>
      </c>
      <c r="E64" s="8">
        <f>MAX($D$9:D64)</f>
        <v/>
      </c>
      <c r="F64" s="8">
        <f>D64=MAX($D$9:$D$260)</f>
        <v/>
      </c>
    </row>
    <row r="65">
      <c r="A65" s="6" t="inlineStr">
        <is>
          <t>삼성전자</t>
        </is>
      </c>
      <c r="B65" s="6" t="inlineStr">
        <is>
          <t>A005930</t>
        </is>
      </c>
      <c r="C65" s="7" t="n">
        <v>45852</v>
      </c>
      <c r="D65" s="6" t="n">
        <v>62500</v>
      </c>
      <c r="E65" s="8">
        <f>MAX($D$9:D65)</f>
        <v/>
      </c>
      <c r="F65" s="8">
        <f>D65=MAX($D$9:$D$260)</f>
        <v/>
      </c>
    </row>
    <row r="66">
      <c r="A66" s="6" t="inlineStr">
        <is>
          <t>삼성전자</t>
        </is>
      </c>
      <c r="B66" s="6" t="inlineStr">
        <is>
          <t>A005930</t>
        </is>
      </c>
      <c r="C66" s="7" t="n">
        <v>45853</v>
      </c>
      <c r="D66" s="6" t="n">
        <v>63700</v>
      </c>
      <c r="E66" s="8">
        <f>MAX($D$9:D66)</f>
        <v/>
      </c>
      <c r="F66" s="8">
        <f>D66=MAX($D$9:$D$260)</f>
        <v/>
      </c>
    </row>
    <row r="67">
      <c r="A67" s="6" t="inlineStr">
        <is>
          <t>삼성전자</t>
        </is>
      </c>
      <c r="B67" s="6" t="inlineStr">
        <is>
          <t>A005930</t>
        </is>
      </c>
      <c r="C67" s="7" t="n">
        <v>45854</v>
      </c>
      <c r="D67" s="6" t="n">
        <v>64700</v>
      </c>
      <c r="E67" s="8">
        <f>MAX($D$9:D67)</f>
        <v/>
      </c>
      <c r="F67" s="8">
        <f>D67=MAX($D$9:$D$260)</f>
        <v/>
      </c>
    </row>
    <row r="68">
      <c r="A68" s="6" t="inlineStr">
        <is>
          <t>삼성전자</t>
        </is>
      </c>
      <c r="B68" s="6" t="inlineStr">
        <is>
          <t>A005930</t>
        </is>
      </c>
      <c r="C68" s="7" t="n">
        <v>45855</v>
      </c>
      <c r="D68" s="6" t="n">
        <v>66700</v>
      </c>
      <c r="E68" s="8">
        <f>MAX($D$9:D68)</f>
        <v/>
      </c>
      <c r="F68" s="8">
        <f>D68=MAX($D$9:$D$260)</f>
        <v/>
      </c>
    </row>
    <row r="69">
      <c r="A69" s="6" t="inlineStr">
        <is>
          <t>삼성전자</t>
        </is>
      </c>
      <c r="B69" s="6" t="inlineStr">
        <is>
          <t>A005930</t>
        </is>
      </c>
      <c r="C69" s="7" t="n">
        <v>45856</v>
      </c>
      <c r="D69" s="6" t="n">
        <v>67100</v>
      </c>
      <c r="E69" s="8">
        <f>MAX($D$9:D69)</f>
        <v/>
      </c>
      <c r="F69" s="8">
        <f>D69=MAX($D$9:$D$260)</f>
        <v/>
      </c>
    </row>
    <row r="70">
      <c r="A70" s="6" t="inlineStr">
        <is>
          <t>삼성전자</t>
        </is>
      </c>
      <c r="B70" s="6" t="inlineStr">
        <is>
          <t>A005930</t>
        </is>
      </c>
      <c r="C70" s="7" t="n">
        <v>45859</v>
      </c>
      <c r="D70" s="6" t="n">
        <v>67800</v>
      </c>
      <c r="E70" s="8">
        <f>MAX($D$9:D70)</f>
        <v/>
      </c>
      <c r="F70" s="8">
        <f>D70=MAX($D$9:$D$260)</f>
        <v/>
      </c>
    </row>
    <row r="71">
      <c r="A71" s="6" t="inlineStr">
        <is>
          <t>삼성전자</t>
        </is>
      </c>
      <c r="B71" s="6" t="inlineStr">
        <is>
          <t>A005930</t>
        </is>
      </c>
      <c r="C71" s="7" t="n">
        <v>45860</v>
      </c>
      <c r="D71" s="6" t="n">
        <v>66000</v>
      </c>
      <c r="E71" s="8">
        <f>MAX($D$9:D71)</f>
        <v/>
      </c>
      <c r="F71" s="8">
        <f>D71=MAX($D$9:$D$260)</f>
        <v/>
      </c>
    </row>
    <row r="72">
      <c r="A72" s="6" t="inlineStr">
        <is>
          <t>삼성전자</t>
        </is>
      </c>
      <c r="B72" s="6" t="inlineStr">
        <is>
          <t>A005930</t>
        </is>
      </c>
      <c r="C72" s="7" t="n">
        <v>45861</v>
      </c>
      <c r="D72" s="6" t="n">
        <v>66400</v>
      </c>
      <c r="E72" s="8">
        <f>MAX($D$9:D72)</f>
        <v/>
      </c>
      <c r="F72" s="8">
        <f>D72=MAX($D$9:$D$260)</f>
        <v/>
      </c>
    </row>
    <row r="73">
      <c r="A73" s="6" t="inlineStr">
        <is>
          <t>삼성전자</t>
        </is>
      </c>
      <c r="B73" s="6" t="inlineStr">
        <is>
          <t>A005930</t>
        </is>
      </c>
      <c r="C73" s="7" t="n">
        <v>45862</v>
      </c>
      <c r="D73" s="6" t="n">
        <v>66000</v>
      </c>
      <c r="E73" s="8">
        <f>MAX($D$9:D73)</f>
        <v/>
      </c>
      <c r="F73" s="8">
        <f>D73=MAX($D$9:$D$260)</f>
        <v/>
      </c>
    </row>
    <row r="74">
      <c r="A74" s="6" t="inlineStr">
        <is>
          <t>삼성전자</t>
        </is>
      </c>
      <c r="B74" s="6" t="inlineStr">
        <is>
          <t>A005930</t>
        </is>
      </c>
      <c r="C74" s="7" t="n">
        <v>45863</v>
      </c>
      <c r="D74" s="6" t="n">
        <v>65900</v>
      </c>
      <c r="E74" s="8">
        <f>MAX($D$9:D74)</f>
        <v/>
      </c>
      <c r="F74" s="8">
        <f>D74=MAX($D$9:$D$260)</f>
        <v/>
      </c>
    </row>
    <row r="75">
      <c r="A75" s="6" t="inlineStr">
        <is>
          <t>삼성전자</t>
        </is>
      </c>
      <c r="B75" s="6" t="inlineStr">
        <is>
          <t>A005930</t>
        </is>
      </c>
      <c r="C75" s="7" t="n">
        <v>45866</v>
      </c>
      <c r="D75" s="6" t="n">
        <v>70400</v>
      </c>
      <c r="E75" s="8">
        <f>MAX($D$9:D75)</f>
        <v/>
      </c>
      <c r="F75" s="8">
        <f>D75=MAX($D$9:$D$260)</f>
        <v/>
      </c>
    </row>
    <row r="76">
      <c r="A76" s="6" t="inlineStr">
        <is>
          <t>삼성전자</t>
        </is>
      </c>
      <c r="B76" s="6" t="inlineStr">
        <is>
          <t>A005930</t>
        </is>
      </c>
      <c r="C76" s="7" t="n">
        <v>45867</v>
      </c>
      <c r="D76" s="6" t="n">
        <v>70600</v>
      </c>
      <c r="E76" s="8">
        <f>MAX($D$9:D76)</f>
        <v/>
      </c>
      <c r="F76" s="8">
        <f>D76=MAX($D$9:$D$260)</f>
        <v/>
      </c>
    </row>
    <row r="77">
      <c r="A77" s="6" t="inlineStr">
        <is>
          <t>삼성전자</t>
        </is>
      </c>
      <c r="B77" s="6" t="inlineStr">
        <is>
          <t>A005930</t>
        </is>
      </c>
      <c r="C77" s="7" t="n">
        <v>45868</v>
      </c>
      <c r="D77" s="6" t="n">
        <v>72600</v>
      </c>
      <c r="E77" s="8">
        <f>MAX($D$9:D77)</f>
        <v/>
      </c>
      <c r="F77" s="8">
        <f>D77=MAX($D$9:$D$260)</f>
        <v/>
      </c>
    </row>
    <row r="78">
      <c r="A78" s="6" t="inlineStr">
        <is>
          <t>삼성전자</t>
        </is>
      </c>
      <c r="B78" s="6" t="inlineStr">
        <is>
          <t>A005930</t>
        </is>
      </c>
      <c r="C78" s="7" t="n">
        <v>45869</v>
      </c>
      <c r="D78" s="6" t="n">
        <v>71400</v>
      </c>
      <c r="E78" s="8">
        <f>MAX($D$9:D78)</f>
        <v/>
      </c>
      <c r="F78" s="8">
        <f>D78=MAX($D$9:$D$260)</f>
        <v/>
      </c>
    </row>
    <row r="79">
      <c r="A79" s="6" t="inlineStr">
        <is>
          <t>삼성전자</t>
        </is>
      </c>
      <c r="B79" s="6" t="inlineStr">
        <is>
          <t>A005930</t>
        </is>
      </c>
      <c r="C79" s="7" t="n">
        <v>45870</v>
      </c>
      <c r="D79" s="6" t="n">
        <v>68900</v>
      </c>
      <c r="E79" s="8">
        <f>MAX($D$9:D79)</f>
        <v/>
      </c>
      <c r="F79" s="8">
        <f>D79=MAX($D$9:$D$260)</f>
        <v/>
      </c>
    </row>
    <row r="80">
      <c r="A80" s="6" t="inlineStr">
        <is>
          <t>삼성전자</t>
        </is>
      </c>
      <c r="B80" s="6" t="inlineStr">
        <is>
          <t>A005930</t>
        </is>
      </c>
      <c r="C80" s="7" t="n">
        <v>45873</v>
      </c>
      <c r="D80" s="6" t="n">
        <v>69700</v>
      </c>
      <c r="E80" s="8">
        <f>MAX($D$9:D80)</f>
        <v/>
      </c>
      <c r="F80" s="8">
        <f>D80=MAX($D$9:$D$260)</f>
        <v/>
      </c>
    </row>
    <row r="81">
      <c r="A81" s="6" t="inlineStr">
        <is>
          <t>삼성전자</t>
        </is>
      </c>
      <c r="B81" s="6" t="inlineStr">
        <is>
          <t>A005930</t>
        </is>
      </c>
      <c r="C81" s="7" t="n">
        <v>45874</v>
      </c>
      <c r="D81" s="6" t="n">
        <v>69900</v>
      </c>
      <c r="E81" s="8">
        <f>MAX($D$9:D81)</f>
        <v/>
      </c>
      <c r="F81" s="8">
        <f>D81=MAX($D$9:$D$260)</f>
        <v/>
      </c>
    </row>
    <row r="82">
      <c r="A82" s="6" t="inlineStr">
        <is>
          <t>삼성전자</t>
        </is>
      </c>
      <c r="B82" s="6" t="inlineStr">
        <is>
          <t>A005930</t>
        </is>
      </c>
      <c r="C82" s="7" t="n">
        <v>45875</v>
      </c>
      <c r="D82" s="6" t="n">
        <v>68800</v>
      </c>
      <c r="E82" s="8">
        <f>MAX($D$9:D82)</f>
        <v/>
      </c>
      <c r="F82" s="8">
        <f>D82=MAX($D$9:$D$260)</f>
        <v/>
      </c>
    </row>
    <row r="83">
      <c r="A83" s="6" t="inlineStr">
        <is>
          <t>삼성전자</t>
        </is>
      </c>
      <c r="B83" s="6" t="inlineStr">
        <is>
          <t>A005930</t>
        </is>
      </c>
      <c r="C83" s="7" t="n">
        <v>45876</v>
      </c>
      <c r="D83" s="6" t="n">
        <v>70500</v>
      </c>
      <c r="E83" s="8">
        <f>MAX($D$9:D83)</f>
        <v/>
      </c>
      <c r="F83" s="8">
        <f>D83=MAX($D$9:$D$260)</f>
        <v/>
      </c>
    </row>
    <row r="84">
      <c r="A84" s="6" t="inlineStr">
        <is>
          <t>삼성전자</t>
        </is>
      </c>
      <c r="B84" s="6" t="inlineStr">
        <is>
          <t>A005930</t>
        </is>
      </c>
      <c r="C84" s="7" t="n">
        <v>45877</v>
      </c>
      <c r="D84" s="6" t="n">
        <v>71800</v>
      </c>
      <c r="E84" s="8">
        <f>MAX($D$9:D84)</f>
        <v/>
      </c>
      <c r="F84" s="8">
        <f>D84=MAX($D$9:$D$260)</f>
        <v/>
      </c>
    </row>
    <row r="85">
      <c r="A85" s="6" t="inlineStr">
        <is>
          <t>삼성전자</t>
        </is>
      </c>
      <c r="B85" s="6" t="inlineStr">
        <is>
          <t>A005930</t>
        </is>
      </c>
      <c r="C85" s="7" t="n">
        <v>45880</v>
      </c>
      <c r="D85" s="6" t="n">
        <v>71000</v>
      </c>
      <c r="E85" s="8">
        <f>MAX($D$9:D85)</f>
        <v/>
      </c>
      <c r="F85" s="8">
        <f>D85=MAX($D$9:$D$260)</f>
        <v/>
      </c>
    </row>
    <row r="86">
      <c r="A86" s="6" t="inlineStr">
        <is>
          <t>삼성전자</t>
        </is>
      </c>
      <c r="B86" s="6" t="inlineStr">
        <is>
          <t>A005930</t>
        </is>
      </c>
      <c r="C86" s="7" t="n">
        <v>45881</v>
      </c>
      <c r="D86" s="6" t="n">
        <v>71100</v>
      </c>
      <c r="E86" s="8">
        <f>MAX($D$9:D86)</f>
        <v/>
      </c>
      <c r="F86" s="8">
        <f>D86=MAX($D$9:$D$260)</f>
        <v/>
      </c>
    </row>
    <row r="87">
      <c r="A87" s="6" t="inlineStr">
        <is>
          <t>삼성전자</t>
        </is>
      </c>
      <c r="B87" s="6" t="inlineStr">
        <is>
          <t>A005930</t>
        </is>
      </c>
      <c r="C87" s="7" t="n">
        <v>45882</v>
      </c>
      <c r="D87" s="6" t="n">
        <v>71900</v>
      </c>
      <c r="E87" s="8">
        <f>MAX($D$9:D87)</f>
        <v/>
      </c>
      <c r="F87" s="8">
        <f>D87=MAX($D$9:$D$260)</f>
        <v/>
      </c>
    </row>
    <row r="88">
      <c r="A88" s="6" t="inlineStr">
        <is>
          <t>삼성전자</t>
        </is>
      </c>
      <c r="B88" s="6" t="inlineStr">
        <is>
          <t>A005930</t>
        </is>
      </c>
      <c r="C88" s="7" t="n">
        <v>45883</v>
      </c>
      <c r="D88" s="6" t="n">
        <v>71600</v>
      </c>
      <c r="E88" s="8">
        <f>MAX($D$9:D88)</f>
        <v/>
      </c>
      <c r="F88" s="8">
        <f>D88=MAX($D$9:$D$260)</f>
        <v/>
      </c>
    </row>
    <row r="89">
      <c r="A89" s="6" t="inlineStr">
        <is>
          <t>삼성전자</t>
        </is>
      </c>
      <c r="B89" s="6" t="inlineStr">
        <is>
          <t>A005930</t>
        </is>
      </c>
      <c r="C89" s="7" t="n">
        <v>45887</v>
      </c>
      <c r="D89" s="6" t="n">
        <v>70000</v>
      </c>
      <c r="E89" s="8">
        <f>MAX($D$9:D89)</f>
        <v/>
      </c>
      <c r="F89" s="8">
        <f>D89=MAX($D$9:$D$260)</f>
        <v/>
      </c>
    </row>
    <row r="90">
      <c r="A90" s="6" t="inlineStr">
        <is>
          <t>삼성전자</t>
        </is>
      </c>
      <c r="B90" s="6" t="inlineStr">
        <is>
          <t>A005930</t>
        </is>
      </c>
      <c r="C90" s="7" t="n">
        <v>45888</v>
      </c>
      <c r="D90" s="6" t="n">
        <v>70000</v>
      </c>
      <c r="E90" s="8">
        <f>MAX($D$9:D90)</f>
        <v/>
      </c>
      <c r="F90" s="8">
        <f>D90=MAX($D$9:$D$260)</f>
        <v/>
      </c>
    </row>
    <row r="91">
      <c r="A91" s="6" t="inlineStr">
        <is>
          <t>삼성전자</t>
        </is>
      </c>
      <c r="B91" s="6" t="inlineStr">
        <is>
          <t>A005930</t>
        </is>
      </c>
      <c r="C91" s="7" t="n">
        <v>45889</v>
      </c>
      <c r="D91" s="6" t="n">
        <v>70500</v>
      </c>
      <c r="E91" s="8">
        <f>MAX($D$9:D91)</f>
        <v/>
      </c>
      <c r="F91" s="8">
        <f>D91=MAX($D$9:$D$260)</f>
        <v/>
      </c>
    </row>
    <row r="92">
      <c r="A92" s="6" t="inlineStr">
        <is>
          <t>삼성전자</t>
        </is>
      </c>
      <c r="B92" s="6" t="inlineStr">
        <is>
          <t>A005930</t>
        </is>
      </c>
      <c r="C92" s="7" t="n">
        <v>45890</v>
      </c>
      <c r="D92" s="6" t="n">
        <v>70600</v>
      </c>
      <c r="E92" s="8">
        <f>MAX($D$9:D92)</f>
        <v/>
      </c>
      <c r="F92" s="8">
        <f>D92=MAX($D$9:$D$260)</f>
        <v/>
      </c>
    </row>
    <row r="93">
      <c r="A93" s="6" t="inlineStr">
        <is>
          <t>삼성전자</t>
        </is>
      </c>
      <c r="B93" s="6" t="inlineStr">
        <is>
          <t>A005930</t>
        </is>
      </c>
      <c r="C93" s="7" t="n">
        <v>45891</v>
      </c>
      <c r="D93" s="6" t="n">
        <v>71400</v>
      </c>
      <c r="E93" s="8">
        <f>MAX($D$9:D93)</f>
        <v/>
      </c>
      <c r="F93" s="8">
        <f>D93=MAX($D$9:$D$260)</f>
        <v/>
      </c>
    </row>
    <row r="94">
      <c r="A94" s="6" t="inlineStr">
        <is>
          <t>삼성전자</t>
        </is>
      </c>
      <c r="B94" s="6" t="inlineStr">
        <is>
          <t>A005930</t>
        </is>
      </c>
      <c r="C94" s="7" t="n">
        <v>45894</v>
      </c>
      <c r="D94" s="6" t="n">
        <v>71500</v>
      </c>
      <c r="E94" s="8">
        <f>MAX($D$9:D94)</f>
        <v/>
      </c>
      <c r="F94" s="8">
        <f>D94=MAX($D$9:$D$260)</f>
        <v/>
      </c>
    </row>
    <row r="95">
      <c r="A95" s="6" t="inlineStr">
        <is>
          <t>삼성전자</t>
        </is>
      </c>
      <c r="B95" s="6" t="inlineStr">
        <is>
          <t>A005930</t>
        </is>
      </c>
      <c r="C95" s="7" t="n">
        <v>45895</v>
      </c>
      <c r="D95" s="6" t="n">
        <v>70300</v>
      </c>
      <c r="E95" s="8">
        <f>MAX($D$9:D95)</f>
        <v/>
      </c>
      <c r="F95" s="8">
        <f>D95=MAX($D$9:$D$260)</f>
        <v/>
      </c>
    </row>
    <row r="96">
      <c r="A96" s="6" t="inlineStr">
        <is>
          <t>삼성전자</t>
        </is>
      </c>
      <c r="B96" s="6" t="inlineStr">
        <is>
          <t>A005930</t>
        </is>
      </c>
      <c r="C96" s="7" t="n">
        <v>45896</v>
      </c>
      <c r="D96" s="6" t="n">
        <v>70600</v>
      </c>
      <c r="E96" s="8">
        <f>MAX($D$9:D96)</f>
        <v/>
      </c>
      <c r="F96" s="8">
        <f>D96=MAX($D$9:$D$260)</f>
        <v/>
      </c>
    </row>
    <row r="97">
      <c r="A97" s="6" t="inlineStr">
        <is>
          <t>삼성전자</t>
        </is>
      </c>
      <c r="B97" s="6" t="inlineStr">
        <is>
          <t>A005930</t>
        </is>
      </c>
      <c r="C97" s="7" t="n">
        <v>45897</v>
      </c>
      <c r="D97" s="6" t="n">
        <v>69600</v>
      </c>
      <c r="E97" s="8">
        <f>MAX($D$9:D97)</f>
        <v/>
      </c>
      <c r="F97" s="8">
        <f>D97=MAX($D$9:$D$260)</f>
        <v/>
      </c>
    </row>
    <row r="98">
      <c r="A98" s="6" t="inlineStr">
        <is>
          <t>삼성전자</t>
        </is>
      </c>
      <c r="B98" s="6" t="inlineStr">
        <is>
          <t>A005930</t>
        </is>
      </c>
      <c r="C98" s="7" t="n">
        <v>45898</v>
      </c>
      <c r="D98" s="6" t="n">
        <v>69700</v>
      </c>
      <c r="E98" s="8">
        <f>MAX($D$9:D98)</f>
        <v/>
      </c>
      <c r="F98" s="8">
        <f>D98=MAX($D$9:$D$260)</f>
        <v/>
      </c>
    </row>
    <row r="99">
      <c r="A99" s="6" t="inlineStr">
        <is>
          <t>삼성전자</t>
        </is>
      </c>
      <c r="B99" s="6" t="inlineStr">
        <is>
          <t>A005930</t>
        </is>
      </c>
      <c r="C99" s="7" t="n">
        <v>45901</v>
      </c>
      <c r="D99" s="6" t="n">
        <v>67600</v>
      </c>
      <c r="E99" s="8">
        <f>MAX($D$9:D99)</f>
        <v/>
      </c>
      <c r="F99" s="8">
        <f>D99=MAX($D$9:$D$260)</f>
        <v/>
      </c>
    </row>
    <row r="100">
      <c r="A100" s="6" t="inlineStr">
        <is>
          <t>삼성전자</t>
        </is>
      </c>
      <c r="B100" s="6" t="inlineStr">
        <is>
          <t>A005930</t>
        </is>
      </c>
      <c r="C100" s="7" t="n">
        <v>45902</v>
      </c>
      <c r="D100" s="6" t="n">
        <v>69100</v>
      </c>
      <c r="E100" s="8">
        <f>MAX($D$9:D100)</f>
        <v/>
      </c>
      <c r="F100" s="8">
        <f>D100=MAX($D$9:$D$260)</f>
        <v/>
      </c>
    </row>
    <row r="101">
      <c r="A101" s="6" t="inlineStr">
        <is>
          <t>삼성전자</t>
        </is>
      </c>
      <c r="B101" s="6" t="inlineStr">
        <is>
          <t>A005930</t>
        </is>
      </c>
      <c r="C101" s="7" t="n">
        <v>45903</v>
      </c>
      <c r="D101" s="6" t="n">
        <v>69800</v>
      </c>
      <c r="E101" s="8">
        <f>MAX($D$9:D101)</f>
        <v/>
      </c>
      <c r="F101" s="8">
        <f>D101=MAX($D$9:$D$260)</f>
        <v/>
      </c>
    </row>
    <row r="102">
      <c r="A102" s="6" t="inlineStr">
        <is>
          <t>삼성전자</t>
        </is>
      </c>
      <c r="B102" s="6" t="inlineStr">
        <is>
          <t>A005930</t>
        </is>
      </c>
      <c r="C102" s="7" t="n">
        <v>45904</v>
      </c>
      <c r="D102" s="6" t="n">
        <v>70100</v>
      </c>
      <c r="E102" s="8">
        <f>MAX($D$9:D102)</f>
        <v/>
      </c>
      <c r="F102" s="8">
        <f>D102=MAX($D$9:$D$260)</f>
        <v/>
      </c>
    </row>
    <row r="103">
      <c r="A103" s="6" t="inlineStr">
        <is>
          <t>삼성전자</t>
        </is>
      </c>
      <c r="B103" s="6" t="inlineStr">
        <is>
          <t>A005930</t>
        </is>
      </c>
      <c r="C103" s="7" t="n">
        <v>45905</v>
      </c>
      <c r="D103" s="6" t="n">
        <v>69500</v>
      </c>
      <c r="E103" s="8">
        <f>MAX($D$9:D103)</f>
        <v/>
      </c>
      <c r="F103" s="8">
        <f>D103=MAX($D$9:$D$260)</f>
        <v/>
      </c>
    </row>
    <row r="104">
      <c r="A104" s="6" t="inlineStr">
        <is>
          <t>삼성전자</t>
        </is>
      </c>
      <c r="B104" s="6" t="inlineStr">
        <is>
          <t>A005930</t>
        </is>
      </c>
      <c r="C104" s="7" t="n">
        <v>45908</v>
      </c>
      <c r="D104" s="6" t="n">
        <v>70100</v>
      </c>
      <c r="E104" s="8">
        <f>MAX($D$9:D104)</f>
        <v/>
      </c>
      <c r="F104" s="8">
        <f>D104=MAX($D$9:$D$260)</f>
        <v/>
      </c>
    </row>
    <row r="105">
      <c r="A105" s="6" t="inlineStr">
        <is>
          <t>삼성전자</t>
        </is>
      </c>
      <c r="B105" s="6" t="inlineStr">
        <is>
          <t>A005930</t>
        </is>
      </c>
      <c r="C105" s="7" t="n">
        <v>45909</v>
      </c>
      <c r="D105" s="6" t="n">
        <v>71500</v>
      </c>
      <c r="E105" s="8">
        <f>MAX($D$9:D105)</f>
        <v/>
      </c>
      <c r="F105" s="8">
        <f>D105=MAX($D$9:$D$260)</f>
        <v/>
      </c>
    </row>
    <row r="106">
      <c r="A106" s="6" t="inlineStr">
        <is>
          <t>삼성전자</t>
        </is>
      </c>
      <c r="B106" s="6" t="inlineStr">
        <is>
          <t>A005930</t>
        </is>
      </c>
      <c r="C106" s="7" t="n">
        <v>45910</v>
      </c>
      <c r="D106" s="6" t="n">
        <v>72600</v>
      </c>
      <c r="E106" s="8">
        <f>MAX($D$9:D106)</f>
        <v/>
      </c>
      <c r="F106" s="8">
        <f>D106=MAX($D$9:$D$260)</f>
        <v/>
      </c>
    </row>
    <row r="107">
      <c r="A107" s="6" t="inlineStr">
        <is>
          <t>삼성전자</t>
        </is>
      </c>
      <c r="B107" s="6" t="inlineStr">
        <is>
          <t>A005930</t>
        </is>
      </c>
      <c r="C107" s="7" t="n">
        <v>45911</v>
      </c>
      <c r="D107" s="6" t="n">
        <v>73400</v>
      </c>
      <c r="E107" s="8">
        <f>MAX($D$9:D107)</f>
        <v/>
      </c>
      <c r="F107" s="8">
        <f>D107=MAX($D$9:$D$260)</f>
        <v/>
      </c>
    </row>
    <row r="108">
      <c r="A108" s="6" t="inlineStr">
        <is>
          <t>삼성전자</t>
        </is>
      </c>
      <c r="B108" s="6" t="inlineStr">
        <is>
          <t>A005930</t>
        </is>
      </c>
      <c r="C108" s="7" t="n">
        <v>45912</v>
      </c>
      <c r="D108" s="6" t="n">
        <v>75400</v>
      </c>
      <c r="E108" s="8">
        <f>MAX($D$9:D108)</f>
        <v/>
      </c>
      <c r="F108" s="8">
        <f>D108=MAX($D$9:$D$260)</f>
        <v/>
      </c>
    </row>
    <row r="109">
      <c r="A109" s="6" t="inlineStr">
        <is>
          <t>삼성전자</t>
        </is>
      </c>
      <c r="B109" s="6" t="inlineStr">
        <is>
          <t>A005930</t>
        </is>
      </c>
      <c r="C109" s="7" t="n">
        <v>45915</v>
      </c>
      <c r="D109" s="6" t="n">
        <v>76500</v>
      </c>
      <c r="E109" s="8">
        <f>MAX($D$9:D109)</f>
        <v/>
      </c>
      <c r="F109" s="8">
        <f>D109=MAX($D$9:$D$260)</f>
        <v/>
      </c>
    </row>
    <row r="110">
      <c r="A110" s="6" t="inlineStr">
        <is>
          <t>삼성전자</t>
        </is>
      </c>
      <c r="B110" s="6" t="inlineStr">
        <is>
          <t>A005930</t>
        </is>
      </c>
      <c r="C110" s="7" t="n">
        <v>45916</v>
      </c>
      <c r="D110" s="6" t="n">
        <v>79400</v>
      </c>
      <c r="E110" s="8">
        <f>MAX($D$9:D110)</f>
        <v/>
      </c>
      <c r="F110" s="8">
        <f>D110=MAX($D$9:$D$260)</f>
        <v/>
      </c>
    </row>
    <row r="111">
      <c r="A111" s="6" t="inlineStr">
        <is>
          <t>삼성전자</t>
        </is>
      </c>
      <c r="B111" s="6" t="inlineStr">
        <is>
          <t>A005930</t>
        </is>
      </c>
      <c r="C111" s="7" t="n">
        <v>45917</v>
      </c>
      <c r="D111" s="6" t="n">
        <v>78200</v>
      </c>
      <c r="E111" s="8">
        <f>MAX($D$9:D111)</f>
        <v/>
      </c>
      <c r="F111" s="8">
        <f>D111=MAX($D$9:$D$260)</f>
        <v/>
      </c>
    </row>
    <row r="112">
      <c r="A112" s="6" t="inlineStr">
        <is>
          <t>삼성전자</t>
        </is>
      </c>
      <c r="B112" s="6" t="inlineStr">
        <is>
          <t>A005930</t>
        </is>
      </c>
      <c r="C112" s="7" t="n">
        <v>45918</v>
      </c>
      <c r="D112" s="6" t="n">
        <v>80500</v>
      </c>
      <c r="E112" s="8">
        <f>MAX($D$9:D112)</f>
        <v/>
      </c>
      <c r="F112" s="8">
        <f>D112=MAX($D$9:$D$260)</f>
        <v/>
      </c>
    </row>
    <row r="113">
      <c r="A113" s="6" t="inlineStr">
        <is>
          <t>삼성전자</t>
        </is>
      </c>
      <c r="B113" s="6" t="inlineStr">
        <is>
          <t>A005930</t>
        </is>
      </c>
      <c r="C113" s="7" t="n">
        <v>45919</v>
      </c>
      <c r="D113" s="6" t="n">
        <v>79700</v>
      </c>
      <c r="E113" s="8">
        <f>MAX($D$9:D113)</f>
        <v/>
      </c>
      <c r="F113" s="8">
        <f>D113=MAX($D$9:$D$260)</f>
        <v/>
      </c>
    </row>
    <row r="114">
      <c r="A114" s="6" t="inlineStr">
        <is>
          <t>삼성전자</t>
        </is>
      </c>
      <c r="B114" s="6" t="inlineStr">
        <is>
          <t>A005930</t>
        </is>
      </c>
      <c r="C114" s="7" t="n">
        <v>45922</v>
      </c>
      <c r="D114" s="6" t="n">
        <v>83500</v>
      </c>
      <c r="E114" s="8">
        <f>MAX($D$9:D114)</f>
        <v/>
      </c>
      <c r="F114" s="8">
        <f>D114=MAX($D$9:$D$260)</f>
        <v/>
      </c>
    </row>
    <row r="115">
      <c r="A115" s="6" t="inlineStr">
        <is>
          <t>삼성전자</t>
        </is>
      </c>
      <c r="B115" s="6" t="inlineStr">
        <is>
          <t>A005930</t>
        </is>
      </c>
      <c r="C115" s="7" t="n">
        <v>45923</v>
      </c>
      <c r="D115" s="6" t="n">
        <v>84700</v>
      </c>
      <c r="E115" s="8">
        <f>MAX($D$9:D115)</f>
        <v/>
      </c>
      <c r="F115" s="8">
        <f>D115=MAX($D$9:$D$260)</f>
        <v/>
      </c>
    </row>
    <row r="116">
      <c r="A116" s="6" t="inlineStr">
        <is>
          <t>삼성전자</t>
        </is>
      </c>
      <c r="B116" s="6" t="inlineStr">
        <is>
          <t>A005930</t>
        </is>
      </c>
      <c r="C116" s="7" t="n">
        <v>45924</v>
      </c>
      <c r="D116" s="6" t="n">
        <v>85400</v>
      </c>
      <c r="E116" s="8">
        <f>MAX($D$9:D116)</f>
        <v/>
      </c>
      <c r="F116" s="8">
        <f>D116=MAX($D$9:$D$260)</f>
        <v/>
      </c>
    </row>
    <row r="117">
      <c r="A117" s="6" t="inlineStr">
        <is>
          <t>삼성전자</t>
        </is>
      </c>
      <c r="B117" s="6" t="inlineStr">
        <is>
          <t>A005930</t>
        </is>
      </c>
      <c r="C117" s="7" t="n">
        <v>45925</v>
      </c>
      <c r="D117" s="6" t="n">
        <v>86100</v>
      </c>
      <c r="E117" s="8">
        <f>MAX($D$9:D117)</f>
        <v/>
      </c>
      <c r="F117" s="8">
        <f>D117=MAX($D$9:$D$260)</f>
        <v/>
      </c>
    </row>
    <row r="118">
      <c r="A118" s="6" t="inlineStr">
        <is>
          <t>삼성전자</t>
        </is>
      </c>
      <c r="B118" s="6" t="inlineStr">
        <is>
          <t>A005930</t>
        </is>
      </c>
      <c r="C118" s="7" t="n">
        <v>45926</v>
      </c>
      <c r="D118" s="6" t="n">
        <v>83300</v>
      </c>
      <c r="E118" s="8">
        <f>MAX($D$9:D118)</f>
        <v/>
      </c>
      <c r="F118" s="8">
        <f>D118=MAX($D$9:$D$260)</f>
        <v/>
      </c>
    </row>
    <row r="119">
      <c r="A119" s="6" t="inlineStr">
        <is>
          <t>삼성전자</t>
        </is>
      </c>
      <c r="B119" s="6" t="inlineStr">
        <is>
          <t>A005930</t>
        </is>
      </c>
      <c r="C119" s="7" t="n">
        <v>45929</v>
      </c>
      <c r="D119" s="6" t="n">
        <v>84200</v>
      </c>
      <c r="E119" s="8">
        <f>MAX($D$9:D119)</f>
        <v/>
      </c>
      <c r="F119" s="8">
        <f>D119=MAX($D$9:$D$260)</f>
        <v/>
      </c>
    </row>
    <row r="120">
      <c r="A120" s="6" t="inlineStr">
        <is>
          <t>삼성전자</t>
        </is>
      </c>
      <c r="B120" s="6" t="inlineStr">
        <is>
          <t>A005930</t>
        </is>
      </c>
      <c r="C120" s="7" t="n">
        <v>45930</v>
      </c>
      <c r="D120" s="6" t="n">
        <v>83900</v>
      </c>
      <c r="E120" s="8">
        <f>MAX($D$9:D120)</f>
        <v/>
      </c>
      <c r="F120" s="8">
        <f>D120=MAX($D$9:$D$260)</f>
        <v/>
      </c>
    </row>
    <row r="121">
      <c r="A121" s="6" t="inlineStr">
        <is>
          <t>삼성전자</t>
        </is>
      </c>
      <c r="B121" s="6" t="inlineStr">
        <is>
          <t>A005930</t>
        </is>
      </c>
      <c r="C121" s="7" t="n">
        <v>45931</v>
      </c>
      <c r="D121" s="6" t="n">
        <v>86000</v>
      </c>
      <c r="E121" s="8">
        <f>MAX($D$9:D121)</f>
        <v/>
      </c>
      <c r="F121" s="8">
        <f>D121=MAX($D$9:$D$260)</f>
        <v/>
      </c>
    </row>
    <row r="122">
      <c r="A122" s="6" t="inlineStr">
        <is>
          <t>삼성전자</t>
        </is>
      </c>
      <c r="B122" s="6" t="inlineStr">
        <is>
          <t>A005930</t>
        </is>
      </c>
      <c r="C122" s="7" t="n">
        <v>45932</v>
      </c>
      <c r="D122" s="6" t="n">
        <v>89000</v>
      </c>
      <c r="E122" s="8">
        <f>MAX($D$9:D122)</f>
        <v/>
      </c>
      <c r="F122" s="8">
        <f>D122=MAX($D$9:$D$260)</f>
        <v/>
      </c>
    </row>
    <row r="123">
      <c r="A123" s="6" t="inlineStr">
        <is>
          <t>삼성전자</t>
        </is>
      </c>
      <c r="B123" s="6" t="inlineStr">
        <is>
          <t>A005930</t>
        </is>
      </c>
      <c r="C123" s="7" t="n">
        <v>45940</v>
      </c>
      <c r="D123" s="6" t="n">
        <v>94400</v>
      </c>
      <c r="E123" s="8">
        <f>MAX($D$9:D123)</f>
        <v/>
      </c>
      <c r="F123" s="8">
        <f>D123=MAX($D$9:$D$260)</f>
        <v/>
      </c>
    </row>
    <row r="124">
      <c r="A124" s="6" t="inlineStr">
        <is>
          <t>삼성전자</t>
        </is>
      </c>
      <c r="B124" s="6" t="inlineStr">
        <is>
          <t>A005930</t>
        </is>
      </c>
      <c r="C124" s="7" t="n">
        <v>45943</v>
      </c>
      <c r="D124" s="6" t="n">
        <v>93300</v>
      </c>
      <c r="E124" s="8">
        <f>MAX($D$9:D124)</f>
        <v/>
      </c>
      <c r="F124" s="8">
        <f>D124=MAX($D$9:$D$260)</f>
        <v/>
      </c>
    </row>
    <row r="125">
      <c r="A125" s="6" t="inlineStr">
        <is>
          <t>삼성전자</t>
        </is>
      </c>
      <c r="B125" s="6" t="inlineStr">
        <is>
          <t>A005930</t>
        </is>
      </c>
      <c r="C125" s="7" t="n">
        <v>45944</v>
      </c>
      <c r="D125" s="6" t="n">
        <v>91600</v>
      </c>
      <c r="E125" s="8">
        <f>MAX($D$9:D125)</f>
        <v/>
      </c>
      <c r="F125" s="8">
        <f>D125=MAX($D$9:$D$260)</f>
        <v/>
      </c>
    </row>
    <row r="126">
      <c r="A126" s="6" t="inlineStr">
        <is>
          <t>삼성전자</t>
        </is>
      </c>
      <c r="B126" s="6" t="inlineStr">
        <is>
          <t>A005930</t>
        </is>
      </c>
      <c r="C126" s="7" t="n">
        <v>45945</v>
      </c>
      <c r="D126" s="6" t="n">
        <v>95000</v>
      </c>
      <c r="E126" s="8">
        <f>MAX($D$9:D126)</f>
        <v/>
      </c>
      <c r="F126" s="8">
        <f>D126=MAX($D$9:$D$260)</f>
        <v/>
      </c>
    </row>
    <row r="127">
      <c r="A127" s="6" t="inlineStr">
        <is>
          <t>삼성전자</t>
        </is>
      </c>
      <c r="B127" s="6" t="inlineStr">
        <is>
          <t>A005930</t>
        </is>
      </c>
      <c r="C127" s="7" t="n">
        <v>45946</v>
      </c>
      <c r="D127" s="6" t="n">
        <v>97700</v>
      </c>
      <c r="E127" s="8">
        <f>MAX($D$9:D127)</f>
        <v/>
      </c>
      <c r="F127" s="8">
        <f>D127=MAX($D$9:$D$260)</f>
        <v/>
      </c>
    </row>
    <row r="128">
      <c r="A128" s="6" t="inlineStr">
        <is>
          <t>삼성전자</t>
        </is>
      </c>
      <c r="B128" s="6" t="inlineStr">
        <is>
          <t>A005930</t>
        </is>
      </c>
      <c r="C128" s="7" t="n">
        <v>45947</v>
      </c>
      <c r="D128" s="6" t="n">
        <v>97900</v>
      </c>
      <c r="E128" s="8">
        <f>MAX($D$9:D128)</f>
        <v/>
      </c>
      <c r="F128" s="8">
        <f>D128=MAX($D$9:$D$260)</f>
        <v/>
      </c>
    </row>
    <row r="129">
      <c r="A129" s="6" t="inlineStr">
        <is>
          <t>삼성전자</t>
        </is>
      </c>
      <c r="B129" s="6" t="inlineStr">
        <is>
          <t>A005930</t>
        </is>
      </c>
      <c r="C129" s="7" t="n">
        <v>45950</v>
      </c>
      <c r="D129" s="6" t="n">
        <v>98100</v>
      </c>
      <c r="E129" s="8">
        <f>MAX($D$9:D129)</f>
        <v/>
      </c>
      <c r="F129" s="8">
        <f>D129=MAX($D$9:$D$260)</f>
        <v/>
      </c>
    </row>
    <row r="130">
      <c r="A130" s="6" t="inlineStr">
        <is>
          <t>삼성전자</t>
        </is>
      </c>
      <c r="B130" s="6" t="inlineStr">
        <is>
          <t>A005930</t>
        </is>
      </c>
      <c r="C130" s="7" t="n">
        <v>45951</v>
      </c>
      <c r="D130" s="6" t="n">
        <v>97500</v>
      </c>
      <c r="E130" s="8">
        <f>MAX($D$9:D130)</f>
        <v/>
      </c>
      <c r="F130" s="8">
        <f>D130=MAX($D$9:$D$260)</f>
        <v/>
      </c>
    </row>
    <row r="131">
      <c r="A131" s="6" t="inlineStr">
        <is>
          <t>삼성전자</t>
        </is>
      </c>
      <c r="B131" s="6" t="inlineStr">
        <is>
          <t>A005930</t>
        </is>
      </c>
      <c r="C131" s="7" t="n">
        <v>45952</v>
      </c>
      <c r="D131" s="6" t="n">
        <v>98600</v>
      </c>
      <c r="E131" s="8">
        <f>MAX($D$9:D131)</f>
        <v/>
      </c>
      <c r="F131" s="8">
        <f>D131=MAX($D$9:$D$260)</f>
        <v/>
      </c>
    </row>
    <row r="132">
      <c r="A132" s="6" t="inlineStr">
        <is>
          <t>삼성전자</t>
        </is>
      </c>
      <c r="B132" s="6" t="inlineStr">
        <is>
          <t>A005930</t>
        </is>
      </c>
      <c r="C132" s="7" t="n">
        <v>45953</v>
      </c>
      <c r="D132" s="6" t="n">
        <v>96500</v>
      </c>
      <c r="E132" s="8">
        <f>MAX($D$9:D132)</f>
        <v/>
      </c>
      <c r="F132" s="8">
        <f>D132=MAX($D$9:$D$260)</f>
        <v/>
      </c>
    </row>
    <row r="133">
      <c r="A133" s="6" t="inlineStr">
        <is>
          <t>삼성전자</t>
        </is>
      </c>
      <c r="B133" s="6" t="inlineStr">
        <is>
          <t>A005930</t>
        </is>
      </c>
      <c r="C133" s="7" t="n">
        <v>45954</v>
      </c>
      <c r="D133" s="6" t="n">
        <v>98800</v>
      </c>
      <c r="E133" s="8">
        <f>MAX($D$9:D133)</f>
        <v/>
      </c>
      <c r="F133" s="8">
        <f>D133=MAX($D$9:$D$260)</f>
        <v/>
      </c>
    </row>
    <row r="134">
      <c r="A134" s="6" t="inlineStr">
        <is>
          <t>삼성전자</t>
        </is>
      </c>
      <c r="B134" s="6" t="inlineStr">
        <is>
          <t>A005930</t>
        </is>
      </c>
      <c r="C134" s="7" t="n">
        <v>45957</v>
      </c>
      <c r="D134" s="6" t="n">
        <v>102000</v>
      </c>
      <c r="E134" s="8">
        <f>MAX($D$9:D134)</f>
        <v/>
      </c>
      <c r="F134" s="8">
        <f>D134=MAX($D$9:$D$260)</f>
        <v/>
      </c>
    </row>
    <row r="135">
      <c r="A135" s="6" t="inlineStr">
        <is>
          <t>삼성전자</t>
        </is>
      </c>
      <c r="B135" s="6" t="inlineStr">
        <is>
          <t>A005930</t>
        </is>
      </c>
      <c r="C135" s="7" t="n">
        <v>45958</v>
      </c>
      <c r="D135" s="6" t="n">
        <v>99500</v>
      </c>
      <c r="E135" s="8">
        <f>MAX($D$9:D135)</f>
        <v/>
      </c>
      <c r="F135" s="8">
        <f>D135=MAX($D$9:$D$260)</f>
        <v/>
      </c>
    </row>
    <row r="136">
      <c r="A136" s="6" t="inlineStr">
        <is>
          <t>삼성전자</t>
        </is>
      </c>
      <c r="B136" s="6" t="inlineStr">
        <is>
          <t>A005930</t>
        </is>
      </c>
      <c r="C136" s="7" t="n">
        <v>45959</v>
      </c>
      <c r="D136" s="6" t="n">
        <v>100500</v>
      </c>
      <c r="E136" s="8">
        <f>MAX($D$9:D136)</f>
        <v/>
      </c>
      <c r="F136" s="8">
        <f>D136=MAX($D$9:$D$260)</f>
        <v/>
      </c>
    </row>
    <row r="137">
      <c r="A137" s="6" t="inlineStr">
        <is>
          <t>삼성전자</t>
        </is>
      </c>
      <c r="B137" s="6" t="inlineStr">
        <is>
          <t>A005930</t>
        </is>
      </c>
      <c r="C137" s="7" t="n">
        <v>45960</v>
      </c>
      <c r="D137" s="6" t="n">
        <v>104100</v>
      </c>
      <c r="E137" s="8">
        <f>MAX($D$9:D137)</f>
        <v/>
      </c>
      <c r="F137" s="8">
        <f>D137=MAX($D$9:$D$260)</f>
        <v/>
      </c>
    </row>
    <row r="138">
      <c r="A138" s="6" t="inlineStr">
        <is>
          <t>삼성전자</t>
        </is>
      </c>
      <c r="B138" s="6" t="inlineStr">
        <is>
          <t>A005930</t>
        </is>
      </c>
      <c r="C138" s="7" t="n">
        <v>45961</v>
      </c>
      <c r="D138" s="6" t="n">
        <v>107500</v>
      </c>
      <c r="E138" s="8">
        <f>MAX($D$9:D138)</f>
        <v/>
      </c>
      <c r="F138" s="8">
        <f>D138=MAX($D$9:$D$260)</f>
        <v/>
      </c>
    </row>
    <row r="139">
      <c r="A139" s="6" t="inlineStr">
        <is>
          <t>삼성전자</t>
        </is>
      </c>
      <c r="B139" s="6" t="inlineStr">
        <is>
          <t>A005930</t>
        </is>
      </c>
      <c r="C139" s="7" t="n">
        <v>45964</v>
      </c>
      <c r="D139" s="6" t="n">
        <v>111100</v>
      </c>
      <c r="E139" s="8">
        <f>MAX($D$9:D139)</f>
        <v/>
      </c>
      <c r="F139" s="8">
        <f>D139=MAX($D$9:$D$260)</f>
        <v/>
      </c>
    </row>
    <row r="140">
      <c r="A140" s="6" t="inlineStr">
        <is>
          <t>삼성전자</t>
        </is>
      </c>
      <c r="B140" s="6" t="inlineStr">
        <is>
          <t>A005930</t>
        </is>
      </c>
      <c r="C140" s="7" t="n">
        <v>45965</v>
      </c>
      <c r="D140" s="6" t="n">
        <v>104900</v>
      </c>
      <c r="E140" s="8">
        <f>MAX($D$9:D140)</f>
        <v/>
      </c>
      <c r="F140" s="8">
        <f>D140=MAX($D$9:$D$260)</f>
        <v/>
      </c>
    </row>
    <row r="141">
      <c r="A141" s="6" t="inlineStr">
        <is>
          <t>삼성전자</t>
        </is>
      </c>
      <c r="B141" s="6" t="inlineStr">
        <is>
          <t>A005930</t>
        </is>
      </c>
      <c r="C141" s="7" t="n">
        <v>45966</v>
      </c>
      <c r="D141" s="6" t="n">
        <v>100600</v>
      </c>
      <c r="E141" s="8">
        <f>MAX($D$9:D141)</f>
        <v/>
      </c>
      <c r="F141" s="8">
        <f>D141=MAX($D$9:$D$260)</f>
        <v/>
      </c>
    </row>
    <row r="142">
      <c r="A142" s="6" t="inlineStr">
        <is>
          <t>삼성전자</t>
        </is>
      </c>
      <c r="B142" s="6" t="inlineStr">
        <is>
          <t>A005930</t>
        </is>
      </c>
      <c r="C142" s="7" t="n">
        <v>45967</v>
      </c>
      <c r="D142" s="6" t="n">
        <v>99200</v>
      </c>
      <c r="E142" s="8">
        <f>MAX($D$9:D142)</f>
        <v/>
      </c>
      <c r="F142" s="8">
        <f>D142=MAX($D$9:$D$260)</f>
        <v/>
      </c>
    </row>
    <row r="143">
      <c r="A143" s="6" t="inlineStr">
        <is>
          <t>삼성전자</t>
        </is>
      </c>
      <c r="B143" s="6" t="inlineStr">
        <is>
          <t>A005930</t>
        </is>
      </c>
      <c r="C143" s="7" t="n">
        <v>45968</v>
      </c>
      <c r="D143" s="6" t="n">
        <v>97900</v>
      </c>
      <c r="E143" s="8">
        <f>MAX($D$9:D143)</f>
        <v/>
      </c>
      <c r="F143" s="8">
        <f>D143=MAX($D$9:$D$260)</f>
        <v/>
      </c>
    </row>
    <row r="144">
      <c r="A144" s="6" t="inlineStr">
        <is>
          <t>삼성전자</t>
        </is>
      </c>
      <c r="B144" s="6" t="inlineStr">
        <is>
          <t>A005930</t>
        </is>
      </c>
      <c r="C144" s="7" t="n">
        <v>45971</v>
      </c>
      <c r="D144" s="6" t="n">
        <v>100600</v>
      </c>
      <c r="E144" s="8">
        <f>MAX($D$9:D144)</f>
        <v/>
      </c>
      <c r="F144" s="8">
        <f>D144=MAX($D$9:$D$260)</f>
        <v/>
      </c>
    </row>
    <row r="145">
      <c r="A145" s="6" t="inlineStr">
        <is>
          <t>삼성전자</t>
        </is>
      </c>
      <c r="B145" s="6" t="inlineStr">
        <is>
          <t>A005930</t>
        </is>
      </c>
      <c r="C145" s="7" t="n">
        <v>45972</v>
      </c>
      <c r="D145" s="6" t="n">
        <v>103500</v>
      </c>
      <c r="E145" s="8">
        <f>MAX($D$9:D145)</f>
        <v/>
      </c>
      <c r="F145" s="8">
        <f>D145=MAX($D$9:$D$260)</f>
        <v/>
      </c>
    </row>
    <row r="146">
      <c r="A146" s="6" t="inlineStr">
        <is>
          <t>삼성전자</t>
        </is>
      </c>
      <c r="B146" s="6" t="inlineStr">
        <is>
          <t>A005930</t>
        </is>
      </c>
      <c r="C146" s="7" t="n">
        <v>45973</v>
      </c>
      <c r="D146" s="6" t="n">
        <v>103100</v>
      </c>
      <c r="E146" s="8">
        <f>MAX($D$9:D146)</f>
        <v/>
      </c>
      <c r="F146" s="8">
        <f>D146=MAX($D$9:$D$260)</f>
        <v/>
      </c>
    </row>
    <row r="147">
      <c r="A147" s="6" t="inlineStr">
        <is>
          <t>삼성전자</t>
        </is>
      </c>
      <c r="B147" s="6" t="inlineStr">
        <is>
          <t>A005930</t>
        </is>
      </c>
      <c r="C147" s="7" t="n">
        <v>45974</v>
      </c>
      <c r="D147" s="6" t="n">
        <v>102800</v>
      </c>
      <c r="E147" s="8">
        <f>MAX($D$9:D147)</f>
        <v/>
      </c>
      <c r="F147" s="8">
        <f>D147=MAX($D$9:$D$260)</f>
        <v/>
      </c>
    </row>
    <row r="148">
      <c r="A148" s="6" t="inlineStr">
        <is>
          <t>삼성전자</t>
        </is>
      </c>
      <c r="B148" s="6" t="inlineStr">
        <is>
          <t>A005930</t>
        </is>
      </c>
      <c r="C148" s="7" t="n">
        <v>45975</v>
      </c>
      <c r="D148" s="6" t="n">
        <v>97200</v>
      </c>
      <c r="E148" s="8">
        <f>MAX($D$9:D148)</f>
        <v/>
      </c>
      <c r="F148" s="8">
        <f>D148=MAX($D$9:$D$260)</f>
        <v/>
      </c>
    </row>
    <row r="149">
      <c r="A149" s="6" t="inlineStr">
        <is>
          <t>삼성전자</t>
        </is>
      </c>
      <c r="B149" s="6" t="inlineStr">
        <is>
          <t>A005930</t>
        </is>
      </c>
      <c r="C149" s="7" t="n">
        <v>45978</v>
      </c>
      <c r="D149" s="6" t="n">
        <v>100600</v>
      </c>
      <c r="E149" s="8">
        <f>MAX($D$9:D149)</f>
        <v/>
      </c>
      <c r="F149" s="8">
        <f>D149=MAX($D$9:$D$260)</f>
        <v/>
      </c>
    </row>
    <row r="150">
      <c r="A150" s="6" t="inlineStr">
        <is>
          <t>삼성전자</t>
        </is>
      </c>
      <c r="B150" s="6" t="inlineStr">
        <is>
          <t>A005930</t>
        </is>
      </c>
      <c r="C150" s="7" t="n">
        <v>45979</v>
      </c>
      <c r="D150" s="6" t="n">
        <v>97800</v>
      </c>
      <c r="E150" s="8">
        <f>MAX($D$9:D150)</f>
        <v/>
      </c>
      <c r="F150" s="8">
        <f>D150=MAX($D$9:$D$260)</f>
        <v/>
      </c>
    </row>
    <row r="151">
      <c r="A151" s="6" t="inlineStr">
        <is>
          <t>삼성전자</t>
        </is>
      </c>
      <c r="B151" s="6" t="inlineStr">
        <is>
          <t>A005930</t>
        </is>
      </c>
      <c r="C151" s="7" t="n">
        <v>45980</v>
      </c>
      <c r="D151" s="6" t="n">
        <v>96500</v>
      </c>
      <c r="E151" s="8">
        <f>MAX($D$9:D151)</f>
        <v/>
      </c>
      <c r="F151" s="8">
        <f>D151=MAX($D$9:$D$260)</f>
        <v/>
      </c>
    </row>
    <row r="152">
      <c r="A152" s="6" t="inlineStr">
        <is>
          <t>삼성전자</t>
        </is>
      </c>
      <c r="B152" s="6" t="inlineStr">
        <is>
          <t>A005930</t>
        </is>
      </c>
      <c r="C152" s="7" t="n">
        <v>45981</v>
      </c>
      <c r="D152" s="6" t="n">
        <v>100600</v>
      </c>
      <c r="E152" s="8">
        <f>MAX($D$9:D152)</f>
        <v/>
      </c>
      <c r="F152" s="8">
        <f>D152=MAX($D$9:$D$260)</f>
        <v/>
      </c>
    </row>
    <row r="153">
      <c r="A153" s="6" t="inlineStr">
        <is>
          <t>삼성전자</t>
        </is>
      </c>
      <c r="B153" s="6" t="inlineStr">
        <is>
          <t>A005930</t>
        </is>
      </c>
      <c r="C153" s="7" t="n">
        <v>45982</v>
      </c>
      <c r="D153" s="6" t="n">
        <v>94800</v>
      </c>
      <c r="E153" s="8">
        <f>MAX($D$9:D153)</f>
        <v/>
      </c>
      <c r="F153" s="8">
        <f>D153=MAX($D$9:$D$260)</f>
        <v/>
      </c>
    </row>
    <row r="154">
      <c r="A154" s="6" t="inlineStr">
        <is>
          <t>삼성전자</t>
        </is>
      </c>
      <c r="B154" s="6" t="inlineStr">
        <is>
          <t>A005930</t>
        </is>
      </c>
      <c r="C154" s="7" t="n">
        <v>45985</v>
      </c>
      <c r="D154" s="6" t="n">
        <v>96700</v>
      </c>
      <c r="E154" s="8">
        <f>MAX($D$9:D154)</f>
        <v/>
      </c>
      <c r="F154" s="8">
        <f>D154=MAX($D$9:$D$260)</f>
        <v/>
      </c>
    </row>
    <row r="155">
      <c r="A155" s="6" t="inlineStr">
        <is>
          <t>삼성전자</t>
        </is>
      </c>
      <c r="B155" s="6" t="inlineStr">
        <is>
          <t>A005930</t>
        </is>
      </c>
      <c r="C155" s="7" t="n">
        <v>45986</v>
      </c>
      <c r="D155" s="6" t="n">
        <v>99300</v>
      </c>
      <c r="E155" s="8">
        <f>MAX($D$9:D155)</f>
        <v/>
      </c>
      <c r="F155" s="8">
        <f>D155=MAX($D$9:$D$260)</f>
        <v/>
      </c>
    </row>
    <row r="156">
      <c r="A156" s="6" t="inlineStr">
        <is>
          <t>삼성전자</t>
        </is>
      </c>
      <c r="B156" s="6" t="inlineStr">
        <is>
          <t>A005930</t>
        </is>
      </c>
      <c r="C156" s="7" t="n">
        <v>45987</v>
      </c>
      <c r="D156" s="6" t="n">
        <v>102800</v>
      </c>
      <c r="E156" s="8">
        <f>MAX($D$9:D156)</f>
        <v/>
      </c>
      <c r="F156" s="8">
        <f>D156=MAX($D$9:$D$260)</f>
        <v/>
      </c>
    </row>
    <row r="157">
      <c r="A157" s="6" t="inlineStr">
        <is>
          <t>삼성전자</t>
        </is>
      </c>
      <c r="B157" s="6" t="inlineStr">
        <is>
          <t>A005930</t>
        </is>
      </c>
      <c r="C157" s="7" t="n">
        <v>45988</v>
      </c>
      <c r="D157" s="6" t="n">
        <v>103500</v>
      </c>
      <c r="E157" s="8">
        <f>MAX($D$9:D157)</f>
        <v/>
      </c>
      <c r="F157" s="8">
        <f>D157=MAX($D$9:$D$260)</f>
        <v/>
      </c>
    </row>
    <row r="158">
      <c r="A158" s="6" t="inlineStr">
        <is>
          <t>삼성전자</t>
        </is>
      </c>
      <c r="B158" s="6" t="inlineStr">
        <is>
          <t>A005930</t>
        </is>
      </c>
      <c r="C158" s="7" t="n">
        <v>45989</v>
      </c>
      <c r="D158" s="6" t="n">
        <v>100500</v>
      </c>
      <c r="E158" s="8">
        <f>MAX($D$9:D158)</f>
        <v/>
      </c>
      <c r="F158" s="8">
        <f>D158=MAX($D$9:$D$260)</f>
        <v/>
      </c>
    </row>
    <row r="159">
      <c r="A159" s="6" t="inlineStr">
        <is>
          <t>삼성전자</t>
        </is>
      </c>
      <c r="B159" s="6" t="inlineStr">
        <is>
          <t>A005930</t>
        </is>
      </c>
      <c r="C159" s="7" t="n">
        <v>45992</v>
      </c>
      <c r="D159" s="6" t="n">
        <v>100800</v>
      </c>
      <c r="E159" s="8">
        <f>MAX($D$9:D159)</f>
        <v/>
      </c>
      <c r="F159" s="8">
        <f>D159=MAX($D$9:$D$260)</f>
        <v/>
      </c>
    </row>
    <row r="160">
      <c r="A160" s="6" t="inlineStr">
        <is>
          <t>삼성전자</t>
        </is>
      </c>
      <c r="B160" s="6" t="inlineStr">
        <is>
          <t>A005930</t>
        </is>
      </c>
      <c r="C160" s="7" t="n">
        <v>45993</v>
      </c>
      <c r="D160" s="6" t="n">
        <v>103400</v>
      </c>
      <c r="E160" s="8">
        <f>MAX($D$9:D160)</f>
        <v/>
      </c>
      <c r="F160" s="8">
        <f>D160=MAX($D$9:$D$260)</f>
        <v/>
      </c>
    </row>
    <row r="161">
      <c r="A161" s="6" t="inlineStr">
        <is>
          <t>삼성전자</t>
        </is>
      </c>
      <c r="B161" s="6" t="inlineStr">
        <is>
          <t>A005930</t>
        </is>
      </c>
      <c r="C161" s="7" t="n">
        <v>45994</v>
      </c>
      <c r="D161" s="6" t="n">
        <v>104500</v>
      </c>
      <c r="E161" s="8">
        <f>MAX($D$9:D161)</f>
        <v/>
      </c>
      <c r="F161" s="8">
        <f>D161=MAX($D$9:$D$260)</f>
        <v/>
      </c>
    </row>
    <row r="162">
      <c r="A162" s="6" t="inlineStr">
        <is>
          <t>삼성전자</t>
        </is>
      </c>
      <c r="B162" s="6" t="inlineStr">
        <is>
          <t>A005930</t>
        </is>
      </c>
      <c r="C162" s="7" t="n">
        <v>45995</v>
      </c>
      <c r="D162" s="6" t="n">
        <v>105100</v>
      </c>
      <c r="E162" s="8">
        <f>MAX($D$9:D162)</f>
        <v/>
      </c>
      <c r="F162" s="8">
        <f>D162=MAX($D$9:$D$260)</f>
        <v/>
      </c>
    </row>
    <row r="163">
      <c r="A163" s="6" t="inlineStr">
        <is>
          <t>삼성전자</t>
        </is>
      </c>
      <c r="B163" s="6" t="inlineStr">
        <is>
          <t>A005930</t>
        </is>
      </c>
      <c r="C163" s="7" t="n">
        <v>45996</v>
      </c>
      <c r="D163" s="6" t="n">
        <v>108400</v>
      </c>
      <c r="E163" s="8">
        <f>MAX($D$9:D163)</f>
        <v/>
      </c>
      <c r="F163" s="8">
        <f>D163=MAX($D$9:$D$260)</f>
        <v/>
      </c>
    </row>
    <row r="164">
      <c r="A164" s="6" t="inlineStr">
        <is>
          <t>삼성전자</t>
        </is>
      </c>
      <c r="B164" s="6" t="inlineStr">
        <is>
          <t>A005930</t>
        </is>
      </c>
      <c r="C164" s="7" t="n">
        <v>45999</v>
      </c>
      <c r="D164" s="6" t="n">
        <v>109500</v>
      </c>
      <c r="E164" s="8">
        <f>MAX($D$9:D164)</f>
        <v/>
      </c>
      <c r="F164" s="8">
        <f>D164=MAX($D$9:$D$260)</f>
        <v/>
      </c>
    </row>
    <row r="165">
      <c r="A165" s="6" t="inlineStr">
        <is>
          <t>삼성전자</t>
        </is>
      </c>
      <c r="B165" s="6" t="inlineStr">
        <is>
          <t>A005930</t>
        </is>
      </c>
      <c r="C165" s="7" t="n">
        <v>46000</v>
      </c>
      <c r="D165" s="6" t="n">
        <v>108400</v>
      </c>
      <c r="E165" s="8">
        <f>MAX($D$9:D165)</f>
        <v/>
      </c>
      <c r="F165" s="8">
        <f>D165=MAX($D$9:$D$260)</f>
        <v/>
      </c>
    </row>
    <row r="166">
      <c r="A166" s="6" t="inlineStr">
        <is>
          <t>삼성전자</t>
        </is>
      </c>
      <c r="B166" s="6" t="inlineStr">
        <is>
          <t>A005930</t>
        </is>
      </c>
      <c r="C166" s="7" t="n">
        <v>46001</v>
      </c>
      <c r="D166" s="6" t="n">
        <v>108000</v>
      </c>
      <c r="E166" s="8">
        <f>MAX($D$9:D166)</f>
        <v/>
      </c>
      <c r="F166" s="8">
        <f>D166=MAX($D$9:$D$260)</f>
        <v/>
      </c>
    </row>
    <row r="167">
      <c r="A167" s="6" t="inlineStr">
        <is>
          <t>삼성전자</t>
        </is>
      </c>
      <c r="B167" s="6" t="inlineStr">
        <is>
          <t>A005930</t>
        </is>
      </c>
      <c r="C167" s="7" t="n">
        <v>46002</v>
      </c>
      <c r="D167" s="6" t="n">
        <v>107300</v>
      </c>
      <c r="E167" s="8">
        <f>MAX($D$9:D167)</f>
        <v/>
      </c>
      <c r="F167" s="8">
        <f>D167=MAX($D$9:$D$260)</f>
        <v/>
      </c>
    </row>
    <row r="168">
      <c r="A168" s="6" t="inlineStr">
        <is>
          <t>삼성전자</t>
        </is>
      </c>
      <c r="B168" s="6" t="inlineStr">
        <is>
          <t>A005930</t>
        </is>
      </c>
      <c r="C168" s="7" t="n">
        <v>46003</v>
      </c>
      <c r="D168" s="6" t="n">
        <v>108900</v>
      </c>
      <c r="E168" s="8">
        <f>MAX($D$9:D168)</f>
        <v/>
      </c>
      <c r="F168" s="8">
        <f>D168=MAX($D$9:$D$260)</f>
        <v/>
      </c>
    </row>
    <row r="169">
      <c r="A169" s="6" t="inlineStr">
        <is>
          <t>삼성전자</t>
        </is>
      </c>
      <c r="B169" s="6" t="inlineStr">
        <is>
          <t>A005930</t>
        </is>
      </c>
      <c r="C169" s="7" t="n">
        <v>46006</v>
      </c>
      <c r="D169" s="6" t="n">
        <v>104800</v>
      </c>
      <c r="E169" s="8">
        <f>MAX($D$9:D169)</f>
        <v/>
      </c>
      <c r="F169" s="8">
        <f>D169=MAX($D$9:$D$260)</f>
        <v/>
      </c>
    </row>
    <row r="170">
      <c r="A170" s="6" t="inlineStr">
        <is>
          <t>삼성전자</t>
        </is>
      </c>
      <c r="B170" s="6" t="inlineStr">
        <is>
          <t>A005930</t>
        </is>
      </c>
      <c r="C170" s="7" t="n">
        <v>46007</v>
      </c>
      <c r="D170" s="6" t="n">
        <v>102800</v>
      </c>
      <c r="E170" s="8">
        <f>MAX($D$9:D170)</f>
        <v/>
      </c>
      <c r="F170" s="8">
        <f>D170=MAX($D$9:$D$260)</f>
        <v/>
      </c>
    </row>
    <row r="171">
      <c r="A171" s="6" t="inlineStr">
        <is>
          <t>삼성전자</t>
        </is>
      </c>
      <c r="B171" s="6" t="inlineStr">
        <is>
          <t>A005930</t>
        </is>
      </c>
      <c r="C171" s="7" t="n">
        <v>46008</v>
      </c>
      <c r="D171" s="6" t="n">
        <v>107900</v>
      </c>
      <c r="E171" s="8">
        <f>MAX($D$9:D171)</f>
        <v/>
      </c>
      <c r="F171" s="8">
        <f>D171=MAX($D$9:$D$260)</f>
        <v/>
      </c>
    </row>
    <row r="172">
      <c r="A172" s="6" t="inlineStr">
        <is>
          <t>삼성전자</t>
        </is>
      </c>
      <c r="B172" s="6" t="inlineStr">
        <is>
          <t>A005930</t>
        </is>
      </c>
      <c r="C172" s="7" t="n">
        <v>46009</v>
      </c>
      <c r="D172" s="6" t="n">
        <v>107600</v>
      </c>
      <c r="E172" s="8">
        <f>MAX($D$9:D172)</f>
        <v/>
      </c>
      <c r="F172" s="8">
        <f>D172=MAX($D$9:$D$260)</f>
        <v/>
      </c>
    </row>
    <row r="173">
      <c r="A173" s="6" t="inlineStr">
        <is>
          <t>삼성전자</t>
        </is>
      </c>
      <c r="B173" s="6" t="inlineStr">
        <is>
          <t>A005930</t>
        </is>
      </c>
      <c r="C173" s="7" t="n">
        <v>46010</v>
      </c>
      <c r="D173" s="6" t="n">
        <v>106300</v>
      </c>
      <c r="E173" s="8">
        <f>MAX($D$9:D173)</f>
        <v/>
      </c>
      <c r="F173" s="8">
        <f>D173=MAX($D$9:$D$260)</f>
        <v/>
      </c>
    </row>
    <row r="174">
      <c r="A174" s="6" t="inlineStr">
        <is>
          <t>삼성전자</t>
        </is>
      </c>
      <c r="B174" s="6" t="inlineStr">
        <is>
          <t>A005930</t>
        </is>
      </c>
      <c r="C174" s="7" t="n">
        <v>46013</v>
      </c>
      <c r="D174" s="6" t="n">
        <v>110500</v>
      </c>
      <c r="E174" s="8">
        <f>MAX($D$9:D174)</f>
        <v/>
      </c>
      <c r="F174" s="8">
        <f>D174=MAX($D$9:$D$260)</f>
        <v/>
      </c>
    </row>
    <row r="175">
      <c r="A175" s="6" t="inlineStr">
        <is>
          <t>삼성전자</t>
        </is>
      </c>
      <c r="B175" s="6" t="inlineStr">
        <is>
          <t>A005930</t>
        </is>
      </c>
      <c r="C175" s="7" t="n">
        <v>46014</v>
      </c>
      <c r="D175" s="6" t="n">
        <v>111500</v>
      </c>
      <c r="E175" s="8">
        <f>MAX($D$9:D175)</f>
        <v/>
      </c>
      <c r="F175" s="8">
        <f>D175=MAX($D$9:$D$260)</f>
        <v/>
      </c>
    </row>
    <row r="176">
      <c r="A176" s="6" t="inlineStr">
        <is>
          <t>삼성전자</t>
        </is>
      </c>
      <c r="B176" s="6" t="inlineStr">
        <is>
          <t>A005930</t>
        </is>
      </c>
      <c r="C176" s="7" t="n">
        <v>46015</v>
      </c>
      <c r="D176" s="6" t="n">
        <v>111100</v>
      </c>
      <c r="E176" s="8">
        <f>MAX($D$9:D176)</f>
        <v/>
      </c>
      <c r="F176" s="8">
        <f>D176=MAX($D$9:$D$260)</f>
        <v/>
      </c>
    </row>
    <row r="177">
      <c r="A177" s="6" t="inlineStr">
        <is>
          <t>삼성전자</t>
        </is>
      </c>
      <c r="B177" s="6" t="inlineStr">
        <is>
          <t>A005930</t>
        </is>
      </c>
      <c r="C177" s="7" t="n">
        <v>46017</v>
      </c>
      <c r="D177" s="6" t="n">
        <v>117000</v>
      </c>
      <c r="E177" s="8">
        <f>MAX($D$9:D177)</f>
        <v/>
      </c>
      <c r="F177" s="8">
        <f>D177=MAX($D$9:$D$260)</f>
        <v/>
      </c>
    </row>
    <row r="178">
      <c r="A178" s="6" t="inlineStr">
        <is>
          <t>삼성전자</t>
        </is>
      </c>
      <c r="B178" s="6" t="inlineStr">
        <is>
          <t>A005930</t>
        </is>
      </c>
      <c r="C178" s="7" t="n">
        <v>46020</v>
      </c>
      <c r="D178" s="6" t="n">
        <v>119500</v>
      </c>
      <c r="E178" s="8">
        <f>MAX($D$9:D178)</f>
        <v/>
      </c>
      <c r="F178" s="8">
        <f>D178=MAX($D$9:$D$260)</f>
        <v/>
      </c>
    </row>
    <row r="179">
      <c r="A179" s="6" t="inlineStr">
        <is>
          <t>삼성전자</t>
        </is>
      </c>
      <c r="B179" s="6" t="inlineStr">
        <is>
          <t>A005930</t>
        </is>
      </c>
      <c r="C179" s="7" t="n">
        <v>46021</v>
      </c>
      <c r="D179" s="6" t="n">
        <v>119900</v>
      </c>
      <c r="E179" s="8">
        <f>MAX($D$9:D179)</f>
        <v/>
      </c>
      <c r="F179" s="8">
        <f>D179=MAX($D$9:$D$260)</f>
        <v/>
      </c>
    </row>
    <row r="180">
      <c r="A180" s="6" t="inlineStr">
        <is>
          <t>삼성전자</t>
        </is>
      </c>
      <c r="B180" s="6" t="inlineStr">
        <is>
          <t>A005930</t>
        </is>
      </c>
      <c r="C180" s="7" t="n">
        <v>46024</v>
      </c>
      <c r="D180" s="6" t="n">
        <v>128500</v>
      </c>
      <c r="E180" s="8">
        <f>MAX($D$9:D180)</f>
        <v/>
      </c>
      <c r="F180" s="8">
        <f>D180=MAX($D$9:$D$260)</f>
        <v/>
      </c>
    </row>
    <row r="181">
      <c r="A181" s="6" t="inlineStr">
        <is>
          <t>삼성전자</t>
        </is>
      </c>
      <c r="B181" s="6" t="inlineStr">
        <is>
          <t>A005930</t>
        </is>
      </c>
      <c r="C181" s="7" t="n">
        <v>46027</v>
      </c>
      <c r="D181" s="6" t="n">
        <v>138100</v>
      </c>
      <c r="E181" s="8">
        <f>MAX($D$9:D181)</f>
        <v/>
      </c>
      <c r="F181" s="8">
        <f>D181=MAX($D$9:$D$260)</f>
        <v/>
      </c>
    </row>
    <row r="182">
      <c r="A182" s="6" t="inlineStr">
        <is>
          <t>삼성전자</t>
        </is>
      </c>
      <c r="B182" s="6" t="inlineStr">
        <is>
          <t>A005930</t>
        </is>
      </c>
      <c r="C182" s="7" t="n">
        <v>46028</v>
      </c>
      <c r="D182" s="6" t="n">
        <v>138900</v>
      </c>
      <c r="E182" s="8">
        <f>MAX($D$9:D182)</f>
        <v/>
      </c>
      <c r="F182" s="8">
        <f>D182=MAX($D$9:$D$260)</f>
        <v/>
      </c>
    </row>
    <row r="183">
      <c r="A183" s="6" t="inlineStr">
        <is>
          <t>삼성전자</t>
        </is>
      </c>
      <c r="B183" s="6" t="inlineStr">
        <is>
          <t>A005930</t>
        </is>
      </c>
      <c r="C183" s="7" t="n">
        <v>46029</v>
      </c>
      <c r="D183" s="6" t="n">
        <v>141000</v>
      </c>
      <c r="E183" s="8">
        <f>MAX($D$9:D183)</f>
        <v/>
      </c>
      <c r="F183" s="8">
        <f>D183=MAX($D$9:$D$260)</f>
        <v/>
      </c>
    </row>
    <row r="184">
      <c r="A184" s="6" t="inlineStr">
        <is>
          <t>삼성전자</t>
        </is>
      </c>
      <c r="B184" s="6" t="inlineStr">
        <is>
          <t>A005930</t>
        </is>
      </c>
      <c r="C184" s="7" t="n">
        <v>46030</v>
      </c>
      <c r="D184" s="6" t="n">
        <v>138800</v>
      </c>
      <c r="E184" s="8">
        <f>MAX($D$9:D184)</f>
        <v/>
      </c>
      <c r="F184" s="8">
        <f>D184=MAX($D$9:$D$260)</f>
        <v/>
      </c>
    </row>
    <row r="185">
      <c r="A185" s="6" t="inlineStr">
        <is>
          <t>삼성전자</t>
        </is>
      </c>
      <c r="B185" s="6" t="inlineStr">
        <is>
          <t>A005930</t>
        </is>
      </c>
      <c r="C185" s="7" t="n">
        <v>46031</v>
      </c>
      <c r="D185" s="6" t="n">
        <v>139000</v>
      </c>
      <c r="E185" s="8">
        <f>MAX($D$9:D185)</f>
        <v/>
      </c>
      <c r="F185" s="8">
        <f>D185=MAX($D$9:$D$260)</f>
        <v/>
      </c>
    </row>
    <row r="186">
      <c r="A186" s="6" t="inlineStr">
        <is>
          <t>삼성전자</t>
        </is>
      </c>
      <c r="B186" s="6" t="inlineStr">
        <is>
          <t>A005930</t>
        </is>
      </c>
      <c r="C186" s="7" t="n">
        <v>46034</v>
      </c>
      <c r="D186" s="6" t="n">
        <v>138800</v>
      </c>
      <c r="E186" s="8">
        <f>MAX($D$9:D186)</f>
        <v/>
      </c>
      <c r="F186" s="8">
        <f>D186=MAX($D$9:$D$260)</f>
        <v/>
      </c>
    </row>
    <row r="187">
      <c r="A187" s="6" t="inlineStr">
        <is>
          <t>삼성전자</t>
        </is>
      </c>
      <c r="B187" s="6" t="inlineStr">
        <is>
          <t>A005930</t>
        </is>
      </c>
      <c r="C187" s="7" t="n">
        <v>46035</v>
      </c>
      <c r="D187" s="6" t="n">
        <v>137600</v>
      </c>
      <c r="E187" s="8">
        <f>MAX($D$9:D187)</f>
        <v/>
      </c>
      <c r="F187" s="8">
        <f>D187=MAX($D$9:$D$260)</f>
        <v/>
      </c>
    </row>
    <row r="188">
      <c r="A188" s="6" t="inlineStr">
        <is>
          <t>삼성전자</t>
        </is>
      </c>
      <c r="B188" s="6" t="inlineStr">
        <is>
          <t>A005930</t>
        </is>
      </c>
      <c r="C188" s="7" t="n">
        <v>46036</v>
      </c>
      <c r="D188" s="6" t="n">
        <v>140300</v>
      </c>
      <c r="E188" s="8">
        <f>MAX($D$9:D188)</f>
        <v/>
      </c>
      <c r="F188" s="8">
        <f>D188=MAX($D$9:$D$260)</f>
        <v/>
      </c>
    </row>
    <row r="189">
      <c r="A189" s="6" t="inlineStr">
        <is>
          <t>삼성전자</t>
        </is>
      </c>
      <c r="B189" s="6" t="inlineStr">
        <is>
          <t>A005930</t>
        </is>
      </c>
      <c r="C189" s="7" t="n">
        <v>46037</v>
      </c>
      <c r="D189" s="6" t="n">
        <v>143900</v>
      </c>
      <c r="E189" s="8">
        <f>MAX($D$9:D189)</f>
        <v/>
      </c>
      <c r="F189" s="8">
        <f>D189=MAX($D$9:$D$260)</f>
        <v/>
      </c>
    </row>
    <row r="190">
      <c r="A190" s="6" t="inlineStr">
        <is>
          <t>삼성전자</t>
        </is>
      </c>
      <c r="B190" s="6" t="inlineStr">
        <is>
          <t>A005930</t>
        </is>
      </c>
      <c r="C190" s="7" t="n">
        <v>46038</v>
      </c>
      <c r="D190" s="6" t="n">
        <v>148900</v>
      </c>
      <c r="E190" s="8">
        <f>MAX($D$9:D190)</f>
        <v/>
      </c>
      <c r="F190" s="8">
        <f>D190=MAX($D$9:$D$260)</f>
        <v/>
      </c>
    </row>
    <row r="191">
      <c r="A191" s="6" t="inlineStr">
        <is>
          <t>삼성전자</t>
        </is>
      </c>
      <c r="B191" s="6" t="inlineStr">
        <is>
          <t>A005930</t>
        </is>
      </c>
      <c r="C191" s="7" t="n">
        <v>46041</v>
      </c>
      <c r="D191" s="6" t="n">
        <v>149300</v>
      </c>
      <c r="E191" s="8">
        <f>MAX($D$9:D191)</f>
        <v/>
      </c>
      <c r="F191" s="8">
        <f>D191=MAX($D$9:$D$260)</f>
        <v/>
      </c>
    </row>
    <row r="192">
      <c r="A192" s="6" t="inlineStr">
        <is>
          <t>삼성전자</t>
        </is>
      </c>
      <c r="B192" s="6" t="inlineStr">
        <is>
          <t>A005930</t>
        </is>
      </c>
      <c r="C192" s="7" t="n">
        <v>46042</v>
      </c>
      <c r="D192" s="6" t="n">
        <v>145200</v>
      </c>
      <c r="E192" s="8">
        <f>MAX($D$9:D192)</f>
        <v/>
      </c>
      <c r="F192" s="8">
        <f>D192=MAX($D$9:$D$260)</f>
        <v/>
      </c>
    </row>
    <row r="193">
      <c r="A193" s="6" t="inlineStr">
        <is>
          <t>삼성전자</t>
        </is>
      </c>
      <c r="B193" s="6" t="inlineStr">
        <is>
          <t>A005930</t>
        </is>
      </c>
      <c r="C193" s="7" t="n">
        <v>46043</v>
      </c>
      <c r="D193" s="6" t="n">
        <v>149500</v>
      </c>
      <c r="E193" s="8">
        <f>MAX($D$9:D193)</f>
        <v/>
      </c>
      <c r="F193" s="8">
        <f>D193=MAX($D$9:$D$260)</f>
        <v/>
      </c>
    </row>
    <row r="194">
      <c r="A194" s="6" t="inlineStr">
        <is>
          <t>삼성전자</t>
        </is>
      </c>
      <c r="B194" s="6" t="inlineStr">
        <is>
          <t>A005930</t>
        </is>
      </c>
      <c r="C194" s="7" t="n">
        <v>46044</v>
      </c>
      <c r="D194" s="6" t="n">
        <v>152300</v>
      </c>
      <c r="E194" s="8">
        <f>MAX($D$9:D194)</f>
        <v/>
      </c>
      <c r="F194" s="8">
        <f>D194=MAX($D$9:$D$260)</f>
        <v/>
      </c>
    </row>
    <row r="195">
      <c r="A195" s="6" t="inlineStr">
        <is>
          <t>삼성전자</t>
        </is>
      </c>
      <c r="B195" s="6" t="inlineStr">
        <is>
          <t>A005930</t>
        </is>
      </c>
      <c r="C195" s="7" t="n">
        <v>46045</v>
      </c>
      <c r="D195" s="6" t="n">
        <v>152100</v>
      </c>
      <c r="E195" s="8">
        <f>MAX($D$9:D195)</f>
        <v/>
      </c>
      <c r="F195" s="8">
        <f>D195=MAX($D$9:$D$260)</f>
        <v/>
      </c>
    </row>
    <row r="196">
      <c r="A196" s="6" t="inlineStr">
        <is>
          <t>삼성전자</t>
        </is>
      </c>
      <c r="B196" s="6" t="inlineStr">
        <is>
          <t>A005930</t>
        </is>
      </c>
      <c r="C196" s="7" t="n">
        <v>46048</v>
      </c>
      <c r="D196" s="6" t="n">
        <v>152100</v>
      </c>
      <c r="E196" s="8">
        <f>MAX($D$9:D196)</f>
        <v/>
      </c>
      <c r="F196" s="8">
        <f>D196=MAX($D$9:$D$260)</f>
        <v/>
      </c>
    </row>
    <row r="197">
      <c r="A197" s="6" t="inlineStr">
        <is>
          <t>삼성전자</t>
        </is>
      </c>
      <c r="B197" s="6" t="inlineStr">
        <is>
          <t>A005930</t>
        </is>
      </c>
      <c r="C197" s="7" t="n">
        <v>46049</v>
      </c>
      <c r="D197" s="6" t="n">
        <v>159500</v>
      </c>
      <c r="E197" s="8">
        <f>MAX($D$9:D197)</f>
        <v/>
      </c>
      <c r="F197" s="8">
        <f>D197=MAX($D$9:$D$260)</f>
        <v/>
      </c>
    </row>
    <row r="198">
      <c r="A198" s="6" t="inlineStr">
        <is>
          <t>삼성전자</t>
        </is>
      </c>
      <c r="B198" s="6" t="inlineStr">
        <is>
          <t>A005930</t>
        </is>
      </c>
      <c r="C198" s="7" t="n">
        <v>46050</v>
      </c>
      <c r="D198" s="6" t="n">
        <v>162400</v>
      </c>
      <c r="E198" s="8">
        <f>MAX($D$9:D198)</f>
        <v/>
      </c>
      <c r="F198" s="8">
        <f>D198=MAX($D$9:$D$260)</f>
        <v/>
      </c>
    </row>
    <row r="199">
      <c r="A199" s="6" t="inlineStr">
        <is>
          <t>삼성전자</t>
        </is>
      </c>
      <c r="B199" s="6" t="inlineStr">
        <is>
          <t>A005930</t>
        </is>
      </c>
      <c r="C199" s="7" t="n">
        <v>46051</v>
      </c>
      <c r="D199" s="6" t="n">
        <v>160700</v>
      </c>
      <c r="E199" s="8">
        <f>MAX($D$9:D199)</f>
        <v/>
      </c>
      <c r="F199" s="8">
        <f>D199=MAX($D$9:$D$260)</f>
        <v/>
      </c>
    </row>
    <row r="200">
      <c r="A200" s="6" t="inlineStr">
        <is>
          <t>삼성전자</t>
        </is>
      </c>
      <c r="B200" s="6" t="inlineStr">
        <is>
          <t>A005930</t>
        </is>
      </c>
      <c r="C200" s="7" t="n">
        <v>46052</v>
      </c>
      <c r="D200" s="6" t="n">
        <v>160500</v>
      </c>
      <c r="E200" s="8">
        <f>MAX($D$9:D200)</f>
        <v/>
      </c>
      <c r="F200" s="8">
        <f>D200=MAX($D$9:$D$260)</f>
        <v/>
      </c>
    </row>
    <row r="201">
      <c r="A201" s="6" t="inlineStr">
        <is>
          <t>삼성전자</t>
        </is>
      </c>
      <c r="B201" s="6" t="inlineStr">
        <is>
          <t>A005930</t>
        </is>
      </c>
      <c r="C201" s="7" t="n">
        <v>46055</v>
      </c>
      <c r="D201" s="6" t="n">
        <v>150400</v>
      </c>
      <c r="E201" s="8">
        <f>MAX($D$9:D201)</f>
        <v/>
      </c>
      <c r="F201" s="8">
        <f>D201=MAX($D$9:$D$260)</f>
        <v/>
      </c>
    </row>
    <row r="202">
      <c r="A202" s="6" t="inlineStr">
        <is>
          <t>삼성전자</t>
        </is>
      </c>
      <c r="B202" s="6" t="inlineStr">
        <is>
          <t>A005930</t>
        </is>
      </c>
      <c r="C202" s="7" t="n">
        <v>46056</v>
      </c>
      <c r="D202" s="6" t="n">
        <v>167500</v>
      </c>
      <c r="E202" s="8">
        <f>MAX($D$9:D202)</f>
        <v/>
      </c>
      <c r="F202" s="8">
        <f>D202=MAX($D$9:$D$260)</f>
        <v/>
      </c>
    </row>
    <row r="203">
      <c r="A203" s="6" t="inlineStr">
        <is>
          <t>삼성전자</t>
        </is>
      </c>
      <c r="B203" s="6" t="inlineStr">
        <is>
          <t>A005930</t>
        </is>
      </c>
      <c r="C203" s="7" t="n">
        <v>46057</v>
      </c>
      <c r="D203" s="6" t="n">
        <v>169100</v>
      </c>
      <c r="E203" s="8">
        <f>MAX($D$9:D203)</f>
        <v/>
      </c>
      <c r="F203" s="8">
        <f>D203=MAX($D$9:$D$260)</f>
        <v/>
      </c>
    </row>
    <row r="204">
      <c r="A204" s="6" t="inlineStr">
        <is>
          <t>삼성전자</t>
        </is>
      </c>
      <c r="B204" s="6" t="inlineStr">
        <is>
          <t>A005930</t>
        </is>
      </c>
      <c r="C204" s="7" t="n">
        <v>46058</v>
      </c>
      <c r="D204" s="6" t="n">
        <v>159300</v>
      </c>
      <c r="E204" s="8">
        <f>MAX($D$9:D204)</f>
        <v/>
      </c>
      <c r="F204" s="8">
        <f>D204=MAX($D$9:$D$260)</f>
        <v/>
      </c>
    </row>
    <row r="205">
      <c r="A205" s="6" t="inlineStr">
        <is>
          <t>삼성전자</t>
        </is>
      </c>
      <c r="B205" s="6" t="inlineStr">
        <is>
          <t>A005930</t>
        </is>
      </c>
      <c r="C205" s="7" t="n">
        <v>46059</v>
      </c>
      <c r="D205" s="6" t="n">
        <v>158600</v>
      </c>
      <c r="E205" s="8">
        <f>MAX($D$9:D205)</f>
        <v/>
      </c>
      <c r="F205" s="8">
        <f>D205=MAX($D$9:$D$260)</f>
        <v/>
      </c>
    </row>
    <row r="206">
      <c r="A206" s="6" t="inlineStr">
        <is>
          <t>삼성전자</t>
        </is>
      </c>
      <c r="B206" s="6" t="inlineStr">
        <is>
          <t>A005930</t>
        </is>
      </c>
      <c r="C206" s="7" t="n">
        <v>46062</v>
      </c>
      <c r="D206" s="6" t="n">
        <v>166400</v>
      </c>
      <c r="E206" s="8">
        <f>MAX($D$9:D206)</f>
        <v/>
      </c>
      <c r="F206" s="8">
        <f>D206=MAX($D$9:$D$260)</f>
        <v/>
      </c>
    </row>
    <row r="207">
      <c r="A207" s="6" t="inlineStr">
        <is>
          <t>삼성전자</t>
        </is>
      </c>
      <c r="B207" s="6" t="inlineStr">
        <is>
          <t>A005930</t>
        </is>
      </c>
      <c r="C207" s="7" t="n">
        <v>46063</v>
      </c>
      <c r="D207" s="6" t="n">
        <v>165800</v>
      </c>
      <c r="E207" s="8">
        <f>MAX($D$9:D207)</f>
        <v/>
      </c>
      <c r="F207" s="8">
        <f>D207=MAX($D$9:$D$260)</f>
        <v/>
      </c>
    </row>
    <row r="208">
      <c r="A208" s="6" t="inlineStr">
        <is>
          <t>삼성전자</t>
        </is>
      </c>
      <c r="B208" s="6" t="inlineStr">
        <is>
          <t>A005930</t>
        </is>
      </c>
      <c r="C208" s="7" t="n">
        <v>46064</v>
      </c>
      <c r="D208" s="6" t="n">
        <v>167800</v>
      </c>
      <c r="E208" s="8">
        <f>MAX($D$9:D208)</f>
        <v/>
      </c>
      <c r="F208" s="8">
        <f>D208=MAX($D$9:$D$260)</f>
        <v/>
      </c>
    </row>
    <row r="209">
      <c r="A209" s="6" t="inlineStr">
        <is>
          <t>삼성전자</t>
        </is>
      </c>
      <c r="B209" s="6" t="inlineStr">
        <is>
          <t>A005930</t>
        </is>
      </c>
      <c r="C209" s="7" t="n">
        <v>46065</v>
      </c>
      <c r="D209" s="6" t="n">
        <v>178600</v>
      </c>
      <c r="E209" s="8">
        <f>MAX($D$9:D209)</f>
        <v/>
      </c>
      <c r="F209" s="8">
        <f>D209=MAX($D$9:$D$260)</f>
        <v/>
      </c>
    </row>
    <row r="210">
      <c r="A210" s="6" t="inlineStr">
        <is>
          <t>삼성전자</t>
        </is>
      </c>
      <c r="B210" s="6" t="inlineStr">
        <is>
          <t>A005930</t>
        </is>
      </c>
      <c r="C210" s="7" t="n">
        <v>46066</v>
      </c>
      <c r="D210" s="6" t="n">
        <v>181200</v>
      </c>
      <c r="E210" s="8">
        <f>MAX($D$9:D210)</f>
        <v/>
      </c>
      <c r="F210" s="8">
        <f>D210=MAX($D$9:$D$260)</f>
        <v/>
      </c>
    </row>
    <row r="211">
      <c r="A211" s="6" t="inlineStr">
        <is>
          <t>삼성전자</t>
        </is>
      </c>
      <c r="B211" s="6" t="inlineStr">
        <is>
          <t>A005930</t>
        </is>
      </c>
      <c r="C211" s="7" t="n">
        <v>46072</v>
      </c>
      <c r="D211" s="6" t="n">
        <v>190000</v>
      </c>
      <c r="E211" s="8">
        <f>MAX($D$9:D211)</f>
        <v/>
      </c>
      <c r="F211" s="8">
        <f>D211=MAX($D$9:$D$260)</f>
        <v/>
      </c>
    </row>
    <row r="212">
      <c r="A212" s="6" t="inlineStr">
        <is>
          <t>삼성전자</t>
        </is>
      </c>
      <c r="B212" s="6" t="inlineStr">
        <is>
          <t>A005930</t>
        </is>
      </c>
      <c r="C212" s="7" t="n">
        <v>46073</v>
      </c>
      <c r="D212" s="6" t="n">
        <v>190100</v>
      </c>
      <c r="E212" s="8">
        <f>MAX($D$9:D212)</f>
        <v/>
      </c>
      <c r="F212" s="8">
        <f>D212=MAX($D$9:$D$260)</f>
        <v/>
      </c>
    </row>
    <row r="213">
      <c r="A213" s="6" t="inlineStr">
        <is>
          <t>삼성전자</t>
        </is>
      </c>
      <c r="B213" s="6" t="inlineStr">
        <is>
          <t>A005930</t>
        </is>
      </c>
      <c r="C213" s="7" t="n">
        <v>46076</v>
      </c>
      <c r="D213" s="6" t="n">
        <v>193000</v>
      </c>
      <c r="E213" s="8">
        <f>MAX($D$9:D213)</f>
        <v/>
      </c>
      <c r="F213" s="8">
        <f>D213=MAX($D$9:$D$260)</f>
        <v/>
      </c>
    </row>
    <row r="214">
      <c r="A214" s="6" t="inlineStr">
        <is>
          <t>삼성전자</t>
        </is>
      </c>
      <c r="B214" s="6" t="inlineStr">
        <is>
          <t>A005930</t>
        </is>
      </c>
      <c r="C214" s="7" t="n">
        <v>46077</v>
      </c>
      <c r="D214" s="6" t="n">
        <v>200000</v>
      </c>
      <c r="E214" s="8">
        <f>MAX($D$9:D214)</f>
        <v/>
      </c>
      <c r="F214" s="8">
        <f>D214=MAX($D$9:$D$260)</f>
        <v/>
      </c>
    </row>
    <row r="215">
      <c r="A215" s="6" t="inlineStr">
        <is>
          <t>삼성전자</t>
        </is>
      </c>
      <c r="B215" s="6" t="inlineStr">
        <is>
          <t>A005930</t>
        </is>
      </c>
      <c r="C215" s="7" t="n">
        <v>46078</v>
      </c>
      <c r="D215" s="6" t="n">
        <v>203500</v>
      </c>
      <c r="E215" s="8">
        <f>MAX($D$9:D215)</f>
        <v/>
      </c>
      <c r="F215" s="8">
        <f>D215=MAX($D$9:$D$260)</f>
        <v/>
      </c>
    </row>
    <row r="216">
      <c r="A216" s="6" t="inlineStr">
        <is>
          <t>삼성전자</t>
        </is>
      </c>
      <c r="B216" s="6" t="inlineStr">
        <is>
          <t>A005930</t>
        </is>
      </c>
      <c r="C216" s="7" t="n">
        <v>46079</v>
      </c>
      <c r="D216" s="6" t="n">
        <v>218000</v>
      </c>
      <c r="E216" s="8">
        <f>MAX($D$9:D216)</f>
        <v/>
      </c>
      <c r="F216" s="8">
        <f>D216=MAX($D$9:$D$260)</f>
        <v/>
      </c>
    </row>
    <row r="217">
      <c r="A217" s="6" t="inlineStr">
        <is>
          <t>삼성전자</t>
        </is>
      </c>
      <c r="B217" s="6" t="inlineStr">
        <is>
          <t>A005930</t>
        </is>
      </c>
      <c r="C217" s="7" t="n">
        <v>46080</v>
      </c>
      <c r="D217" s="6" t="n">
        <v>216500</v>
      </c>
      <c r="E217" s="8">
        <f>MAX($D$9:D217)</f>
        <v/>
      </c>
      <c r="F217" s="8">
        <f>D217=MAX($D$9:$D$260)</f>
        <v/>
      </c>
    </row>
    <row r="218">
      <c r="A218" s="6" t="inlineStr">
        <is>
          <t>삼성전자</t>
        </is>
      </c>
      <c r="B218" s="6" t="inlineStr">
        <is>
          <t>A005930</t>
        </is>
      </c>
      <c r="C218" s="7" t="n">
        <v>46084</v>
      </c>
      <c r="D218" s="6" t="n">
        <v>195100</v>
      </c>
      <c r="E218" s="8">
        <f>MAX($D$9:D218)</f>
        <v/>
      </c>
      <c r="F218" s="8">
        <f>D218=MAX($D$9:$D$260)</f>
        <v/>
      </c>
    </row>
    <row r="219">
      <c r="A219" s="6" t="inlineStr">
        <is>
          <t>삼성전자</t>
        </is>
      </c>
      <c r="B219" s="6" t="inlineStr">
        <is>
          <t>A005930</t>
        </is>
      </c>
      <c r="C219" s="7" t="n">
        <v>46085</v>
      </c>
      <c r="D219" s="6" t="n">
        <v>172200</v>
      </c>
      <c r="E219" s="8">
        <f>MAX($D$9:D219)</f>
        <v/>
      </c>
      <c r="F219" s="8">
        <f>D219=MAX($D$9:$D$260)</f>
        <v/>
      </c>
    </row>
    <row r="220">
      <c r="A220" s="6" t="inlineStr">
        <is>
          <t>삼성전자</t>
        </is>
      </c>
      <c r="B220" s="6" t="inlineStr">
        <is>
          <t>A005930</t>
        </is>
      </c>
      <c r="C220" s="7" t="n">
        <v>46086</v>
      </c>
      <c r="D220" s="6" t="n">
        <v>191600</v>
      </c>
      <c r="E220" s="8">
        <f>MAX($D$9:D220)</f>
        <v/>
      </c>
      <c r="F220" s="8">
        <f>D220=MAX($D$9:$D$260)</f>
        <v/>
      </c>
    </row>
    <row r="221">
      <c r="A221" s="6" t="inlineStr">
        <is>
          <t>삼성전자</t>
        </is>
      </c>
      <c r="B221" s="6" t="inlineStr">
        <is>
          <t>A005930</t>
        </is>
      </c>
      <c r="C221" s="7" t="n">
        <v>46087</v>
      </c>
      <c r="D221" s="6" t="n">
        <v>188200</v>
      </c>
      <c r="E221" s="8">
        <f>MAX($D$9:D221)</f>
        <v/>
      </c>
      <c r="F221" s="8">
        <f>D221=MAX($D$9:$D$260)</f>
        <v/>
      </c>
    </row>
    <row r="222">
      <c r="A222" s="6" t="inlineStr">
        <is>
          <t>삼성전자</t>
        </is>
      </c>
      <c r="B222" s="6" t="inlineStr">
        <is>
          <t>A005930</t>
        </is>
      </c>
      <c r="C222" s="7" t="n">
        <v>46090</v>
      </c>
      <c r="D222" s="6" t="n">
        <v>173500</v>
      </c>
      <c r="E222" s="8">
        <f>MAX($D$9:D222)</f>
        <v/>
      </c>
      <c r="F222" s="8">
        <f>D222=MAX($D$9:$D$260)</f>
        <v/>
      </c>
    </row>
    <row r="223">
      <c r="A223" s="6" t="inlineStr">
        <is>
          <t>삼성전자</t>
        </is>
      </c>
      <c r="B223" s="6" t="inlineStr">
        <is>
          <t>A005930</t>
        </is>
      </c>
      <c r="C223" s="7" t="n">
        <v>46091</v>
      </c>
      <c r="D223" s="6" t="n">
        <v>187900</v>
      </c>
      <c r="E223" s="8">
        <f>MAX($D$9:D223)</f>
        <v/>
      </c>
      <c r="F223" s="8">
        <f>D223=MAX($D$9:$D$260)</f>
        <v/>
      </c>
    </row>
    <row r="224">
      <c r="A224" s="6" t="inlineStr">
        <is>
          <t>삼성전자</t>
        </is>
      </c>
      <c r="B224" s="6" t="inlineStr">
        <is>
          <t>A005930</t>
        </is>
      </c>
      <c r="C224" s="7" t="n">
        <v>46092</v>
      </c>
      <c r="D224" s="6" t="n">
        <v>190000</v>
      </c>
      <c r="E224" s="8">
        <f>MAX($D$9:D224)</f>
        <v/>
      </c>
      <c r="F224" s="8">
        <f>D224=MAX($D$9:$D$260)</f>
        <v/>
      </c>
    </row>
    <row r="225">
      <c r="A225" s="6" t="inlineStr">
        <is>
          <t>삼성전자</t>
        </is>
      </c>
      <c r="B225" s="6" t="inlineStr">
        <is>
          <t>A005930</t>
        </is>
      </c>
      <c r="C225" s="7" t="n">
        <v>46093</v>
      </c>
      <c r="D225" s="6" t="n">
        <v>187900</v>
      </c>
      <c r="E225" s="8">
        <f>MAX($D$9:D225)</f>
        <v/>
      </c>
      <c r="F225" s="8">
        <f>D225=MAX($D$9:$D$260)</f>
        <v/>
      </c>
    </row>
    <row r="226">
      <c r="A226" s="6" t="inlineStr">
        <is>
          <t>삼성전자</t>
        </is>
      </c>
      <c r="B226" s="6" t="inlineStr">
        <is>
          <t>A005930</t>
        </is>
      </c>
      <c r="C226" s="7" t="n">
        <v>46094</v>
      </c>
      <c r="D226" s="6" t="n">
        <v>183500</v>
      </c>
      <c r="E226" s="8">
        <f>MAX($D$9:D226)</f>
        <v/>
      </c>
      <c r="F226" s="8">
        <f>D226=MAX($D$9:$D$260)</f>
        <v/>
      </c>
    </row>
    <row r="227">
      <c r="A227" s="6" t="inlineStr">
        <is>
          <t>삼성전자</t>
        </is>
      </c>
      <c r="B227" s="6" t="inlineStr">
        <is>
          <t>A005930</t>
        </is>
      </c>
      <c r="C227" s="7" t="n">
        <v>46097</v>
      </c>
      <c r="D227" s="6" t="n">
        <v>188700</v>
      </c>
      <c r="E227" s="8">
        <f>MAX($D$9:D227)</f>
        <v/>
      </c>
      <c r="F227" s="8">
        <f>D227=MAX($D$9:$D$260)</f>
        <v/>
      </c>
    </row>
    <row r="228">
      <c r="A228" s="6" t="inlineStr">
        <is>
          <t>삼성전자</t>
        </is>
      </c>
      <c r="B228" s="6" t="inlineStr">
        <is>
          <t>A005930</t>
        </is>
      </c>
      <c r="C228" s="7" t="n">
        <v>46098</v>
      </c>
      <c r="D228" s="6" t="n">
        <v>193900</v>
      </c>
      <c r="E228" s="8">
        <f>MAX($D$9:D228)</f>
        <v/>
      </c>
      <c r="F228" s="8">
        <f>D228=MAX($D$9:$D$260)</f>
        <v/>
      </c>
    </row>
    <row r="229">
      <c r="A229" s="6" t="inlineStr">
        <is>
          <t>삼성전자</t>
        </is>
      </c>
      <c r="B229" s="6" t="inlineStr">
        <is>
          <t>A005930</t>
        </is>
      </c>
      <c r="C229" s="7" t="n">
        <v>46099</v>
      </c>
      <c r="D229" s="6" t="n">
        <v>208500</v>
      </c>
      <c r="E229" s="8">
        <f>MAX($D$9:D229)</f>
        <v/>
      </c>
      <c r="F229" s="8">
        <f>D229=MAX($D$9:$D$260)</f>
        <v/>
      </c>
    </row>
    <row r="230">
      <c r="A230" s="6" t="inlineStr">
        <is>
          <t>삼성전자</t>
        </is>
      </c>
      <c r="B230" s="6" t="inlineStr">
        <is>
          <t>A005930</t>
        </is>
      </c>
      <c r="C230" s="7" t="n">
        <v>46100</v>
      </c>
      <c r="D230" s="6" t="n">
        <v>200500</v>
      </c>
      <c r="E230" s="8">
        <f>MAX($D$9:D230)</f>
        <v/>
      </c>
      <c r="F230" s="8">
        <f>D230=MAX($D$9:$D$260)</f>
        <v/>
      </c>
    </row>
    <row r="231">
      <c r="A231" s="6" t="inlineStr">
        <is>
          <t>삼성전자</t>
        </is>
      </c>
      <c r="B231" s="6" t="inlineStr">
        <is>
          <t>A005930</t>
        </is>
      </c>
      <c r="C231" s="7" t="n">
        <v>46101</v>
      </c>
      <c r="D231" s="6" t="n">
        <v>199400</v>
      </c>
      <c r="E231" s="8">
        <f>MAX($D$9:D231)</f>
        <v/>
      </c>
      <c r="F231" s="8">
        <f>D231=MAX($D$9:$D$260)</f>
        <v/>
      </c>
    </row>
    <row r="232">
      <c r="A232" s="6" t="inlineStr">
        <is>
          <t>삼성전자</t>
        </is>
      </c>
      <c r="B232" s="6" t="inlineStr">
        <is>
          <t>A005930</t>
        </is>
      </c>
      <c r="C232" s="7" t="n">
        <v>46104</v>
      </c>
      <c r="D232" s="6" t="n">
        <v>186300</v>
      </c>
      <c r="E232" s="8">
        <f>MAX($D$9:D232)</f>
        <v/>
      </c>
      <c r="F232" s="8">
        <f>D232=MAX($D$9:$D$260)</f>
        <v/>
      </c>
    </row>
    <row r="233">
      <c r="A233" s="6" t="inlineStr">
        <is>
          <t>삼성전자</t>
        </is>
      </c>
      <c r="B233" s="6" t="inlineStr">
        <is>
          <t>A005930</t>
        </is>
      </c>
      <c r="C233" s="7" t="n">
        <v>46105</v>
      </c>
      <c r="D233" s="6" t="n">
        <v>189700</v>
      </c>
      <c r="E233" s="8">
        <f>MAX($D$9:D233)</f>
        <v/>
      </c>
      <c r="F233" s="8">
        <f>D233=MAX($D$9:$D$260)</f>
        <v/>
      </c>
    </row>
    <row r="234">
      <c r="A234" s="6" t="inlineStr">
        <is>
          <t>삼성전자</t>
        </is>
      </c>
      <c r="B234" s="6" t="inlineStr">
        <is>
          <t>A005930</t>
        </is>
      </c>
      <c r="C234" s="7" t="n">
        <v>46106</v>
      </c>
      <c r="D234" s="6" t="n">
        <v>189000</v>
      </c>
      <c r="E234" s="8">
        <f>MAX($D$9:D234)</f>
        <v/>
      </c>
      <c r="F234" s="8">
        <f>D234=MAX($D$9:$D$260)</f>
        <v/>
      </c>
    </row>
    <row r="235">
      <c r="A235" s="6" t="inlineStr">
        <is>
          <t>삼성전자</t>
        </is>
      </c>
      <c r="B235" s="6" t="inlineStr">
        <is>
          <t>A005930</t>
        </is>
      </c>
      <c r="C235" s="7" t="n">
        <v>46107</v>
      </c>
      <c r="D235" s="6" t="n">
        <v>180100</v>
      </c>
      <c r="E235" s="8">
        <f>MAX($D$9:D235)</f>
        <v/>
      </c>
      <c r="F235" s="8">
        <f>D235=MAX($D$9:$D$260)</f>
        <v/>
      </c>
    </row>
    <row r="236">
      <c r="A236" s="6" t="inlineStr">
        <is>
          <t>삼성전자</t>
        </is>
      </c>
      <c r="B236" s="6" t="inlineStr">
        <is>
          <t>A005930</t>
        </is>
      </c>
      <c r="C236" s="7" t="n">
        <v>46108</v>
      </c>
      <c r="D236" s="6" t="n">
        <v>179700</v>
      </c>
      <c r="E236" s="8">
        <f>MAX($D$9:D236)</f>
        <v/>
      </c>
      <c r="F236" s="8">
        <f>D236=MAX($D$9:$D$260)</f>
        <v/>
      </c>
    </row>
    <row r="237">
      <c r="A237" s="6" t="inlineStr">
        <is>
          <t>삼성전자</t>
        </is>
      </c>
      <c r="B237" s="6" t="inlineStr">
        <is>
          <t>A005930</t>
        </is>
      </c>
      <c r="C237" s="7" t="n">
        <v>46111</v>
      </c>
      <c r="D237" s="6" t="n">
        <v>176300</v>
      </c>
      <c r="E237" s="8">
        <f>MAX($D$9:D237)</f>
        <v/>
      </c>
      <c r="F237" s="8">
        <f>D237=MAX($D$9:$D$260)</f>
        <v/>
      </c>
    </row>
    <row r="238">
      <c r="A238" s="6" t="inlineStr">
        <is>
          <t>삼성전자</t>
        </is>
      </c>
      <c r="B238" s="6" t="inlineStr">
        <is>
          <t>A005930</t>
        </is>
      </c>
      <c r="C238" s="7" t="n">
        <v>46112</v>
      </c>
      <c r="D238" s="6" t="n">
        <v>167200</v>
      </c>
      <c r="E238" s="8">
        <f>MAX($D$9:D238)</f>
        <v/>
      </c>
      <c r="F238" s="8">
        <f>D238=MAX($D$9:$D$260)</f>
        <v/>
      </c>
    </row>
    <row r="239">
      <c r="A239" s="6" t="inlineStr">
        <is>
          <t>삼성전자</t>
        </is>
      </c>
      <c r="B239" s="6" t="inlineStr">
        <is>
          <t>A005930</t>
        </is>
      </c>
      <c r="C239" s="7" t="n">
        <v>46113</v>
      </c>
      <c r="D239" s="6" t="n">
        <v>189600</v>
      </c>
      <c r="E239" s="8">
        <f>MAX($D$9:D239)</f>
        <v/>
      </c>
      <c r="F239" s="8">
        <f>D239=MAX($D$9:$D$260)</f>
        <v/>
      </c>
    </row>
    <row r="240">
      <c r="A240" s="6" t="inlineStr">
        <is>
          <t>삼성전자</t>
        </is>
      </c>
      <c r="B240" s="6" t="inlineStr">
        <is>
          <t>A005930</t>
        </is>
      </c>
      <c r="C240" s="7" t="n">
        <v>46114</v>
      </c>
      <c r="D240" s="6" t="n">
        <v>178400</v>
      </c>
      <c r="E240" s="8">
        <f>MAX($D$9:D240)</f>
        <v/>
      </c>
      <c r="F240" s="8">
        <f>D240=MAX($D$9:$D$260)</f>
        <v/>
      </c>
    </row>
    <row r="241">
      <c r="A241" s="6" t="inlineStr">
        <is>
          <t>삼성전자</t>
        </is>
      </c>
      <c r="B241" s="6" t="inlineStr">
        <is>
          <t>A005930</t>
        </is>
      </c>
      <c r="C241" s="7" t="n">
        <v>46115</v>
      </c>
      <c r="D241" s="6" t="n">
        <v>186200</v>
      </c>
      <c r="E241" s="8">
        <f>MAX($D$9:D241)</f>
        <v/>
      </c>
      <c r="F241" s="8">
        <f>D241=MAX($D$9:$D$260)</f>
        <v/>
      </c>
    </row>
    <row r="242">
      <c r="A242" s="6" t="inlineStr">
        <is>
          <t>삼성전자</t>
        </is>
      </c>
      <c r="B242" s="6" t="inlineStr">
        <is>
          <t>A005930</t>
        </is>
      </c>
      <c r="C242" s="7" t="n">
        <v>46118</v>
      </c>
      <c r="D242" s="6" t="n">
        <v>193100</v>
      </c>
      <c r="E242" s="8">
        <f>MAX($D$9:D242)</f>
        <v/>
      </c>
      <c r="F242" s="8">
        <f>D242=MAX($D$9:$D$260)</f>
        <v/>
      </c>
    </row>
    <row r="243">
      <c r="A243" s="6" t="inlineStr">
        <is>
          <t>삼성전자</t>
        </is>
      </c>
      <c r="B243" s="6" t="inlineStr">
        <is>
          <t>A005930</t>
        </is>
      </c>
      <c r="C243" s="7" t="n">
        <v>46119</v>
      </c>
      <c r="D243" s="6" t="n">
        <v>196500</v>
      </c>
      <c r="E243" s="8">
        <f>MAX($D$9:D243)</f>
        <v/>
      </c>
      <c r="F243" s="8">
        <f>D243=MAX($D$9:$D$260)</f>
        <v/>
      </c>
    </row>
    <row r="244">
      <c r="A244" s="6" t="inlineStr">
        <is>
          <t>삼성전자</t>
        </is>
      </c>
      <c r="B244" s="6" t="inlineStr">
        <is>
          <t>A005930</t>
        </is>
      </c>
      <c r="C244" s="7" t="n">
        <v>46120</v>
      </c>
      <c r="D244" s="6" t="n">
        <v>210500</v>
      </c>
      <c r="E244" s="8">
        <f>MAX($D$9:D244)</f>
        <v/>
      </c>
      <c r="F244" s="8">
        <f>D244=MAX($D$9:$D$260)</f>
        <v/>
      </c>
    </row>
    <row r="245">
      <c r="A245" s="6" t="inlineStr">
        <is>
          <t>삼성전자</t>
        </is>
      </c>
      <c r="B245" s="6" t="inlineStr">
        <is>
          <t>A005930</t>
        </is>
      </c>
      <c r="C245" s="7" t="n">
        <v>46121</v>
      </c>
      <c r="D245" s="6" t="n">
        <v>204000</v>
      </c>
      <c r="E245" s="8">
        <f>MAX($D$9:D245)</f>
        <v/>
      </c>
      <c r="F245" s="8">
        <f>D245=MAX($D$9:$D$260)</f>
        <v/>
      </c>
    </row>
    <row r="246">
      <c r="A246" s="6" t="inlineStr">
        <is>
          <t>삼성전자</t>
        </is>
      </c>
      <c r="B246" s="6" t="inlineStr">
        <is>
          <t>A005930</t>
        </is>
      </c>
      <c r="C246" s="7" t="n">
        <v>46122</v>
      </c>
      <c r="D246" s="6" t="n">
        <v>206000</v>
      </c>
      <c r="E246" s="8">
        <f>MAX($D$9:D246)</f>
        <v/>
      </c>
      <c r="F246" s="8">
        <f>D246=MAX($D$9:$D$260)</f>
        <v/>
      </c>
    </row>
    <row r="247">
      <c r="A247" s="6" t="inlineStr">
        <is>
          <t>삼성전자</t>
        </is>
      </c>
      <c r="B247" s="6" t="inlineStr">
        <is>
          <t>A005930</t>
        </is>
      </c>
      <c r="C247" s="7" t="n">
        <v>46125</v>
      </c>
      <c r="D247" s="6" t="n">
        <v>201000</v>
      </c>
      <c r="E247" s="8">
        <f>MAX($D$9:D247)</f>
        <v/>
      </c>
      <c r="F247" s="8">
        <f>D247=MAX($D$9:$D$260)</f>
        <v/>
      </c>
    </row>
    <row r="248">
      <c r="A248" s="6" t="inlineStr">
        <is>
          <t>삼성전자</t>
        </is>
      </c>
      <c r="B248" s="6" t="inlineStr">
        <is>
          <t>A005930</t>
        </is>
      </c>
      <c r="C248" s="7" t="n">
        <v>46126</v>
      </c>
      <c r="D248" s="6" t="n">
        <v>206500</v>
      </c>
      <c r="E248" s="8">
        <f>MAX($D$9:D248)</f>
        <v/>
      </c>
      <c r="F248" s="8">
        <f>D248=MAX($D$9:$D$260)</f>
        <v/>
      </c>
    </row>
    <row r="249">
      <c r="A249" s="6" t="inlineStr">
        <is>
          <t>삼성전자</t>
        </is>
      </c>
      <c r="B249" s="6" t="inlineStr">
        <is>
          <t>A005930</t>
        </is>
      </c>
      <c r="C249" s="7" t="n">
        <v>46127</v>
      </c>
      <c r="D249" s="6" t="n">
        <v>211000</v>
      </c>
      <c r="E249" s="8">
        <f>MAX($D$9:D249)</f>
        <v/>
      </c>
      <c r="F249" s="8">
        <f>D249=MAX($D$9:$D$260)</f>
        <v/>
      </c>
    </row>
    <row r="250">
      <c r="A250" s="6" t="inlineStr">
        <is>
          <t>삼성전자</t>
        </is>
      </c>
      <c r="B250" s="6" t="inlineStr">
        <is>
          <t>A005930</t>
        </is>
      </c>
      <c r="C250" s="7" t="n">
        <v>46128</v>
      </c>
      <c r="D250" s="6" t="n">
        <v>217500</v>
      </c>
      <c r="E250" s="8">
        <f>MAX($D$9:D250)</f>
        <v/>
      </c>
      <c r="F250" s="8">
        <f>D250=MAX($D$9:$D$260)</f>
        <v/>
      </c>
    </row>
    <row r="251">
      <c r="A251" s="6" t="inlineStr">
        <is>
          <t>삼성전자</t>
        </is>
      </c>
      <c r="B251" s="6" t="inlineStr">
        <is>
          <t>A005930</t>
        </is>
      </c>
      <c r="C251" s="7" t="n">
        <v>46129</v>
      </c>
      <c r="D251" s="6" t="n">
        <v>216000</v>
      </c>
      <c r="E251" s="8">
        <f>MAX($D$9:D251)</f>
        <v/>
      </c>
      <c r="F251" s="8">
        <f>D251=MAX($D$9:$D$260)</f>
        <v/>
      </c>
    </row>
    <row r="252">
      <c r="A252" s="6" t="inlineStr">
        <is>
          <t>삼성전자</t>
        </is>
      </c>
      <c r="B252" s="6" t="inlineStr">
        <is>
          <t>A005930</t>
        </is>
      </c>
      <c r="C252" s="7" t="n">
        <v>46132</v>
      </c>
      <c r="D252" s="6" t="n">
        <v>214500</v>
      </c>
      <c r="E252" s="8">
        <f>MAX($D$9:D252)</f>
        <v/>
      </c>
      <c r="F252" s="8">
        <f>D252=MAX($D$9:$D$260)</f>
        <v/>
      </c>
    </row>
    <row r="253">
      <c r="A253" s="6" t="inlineStr">
        <is>
          <t>삼성전자</t>
        </is>
      </c>
      <c r="B253" s="6" t="inlineStr">
        <is>
          <t>A005930</t>
        </is>
      </c>
      <c r="C253" s="7" t="n">
        <v>46133</v>
      </c>
      <c r="D253" s="6" t="n">
        <v>219000</v>
      </c>
      <c r="E253" s="8">
        <f>MAX($D$9:D253)</f>
        <v/>
      </c>
      <c r="F253" s="8">
        <f>D253=MAX($D$9:$D$260)</f>
        <v/>
      </c>
    </row>
    <row r="254">
      <c r="A254" s="6" t="inlineStr">
        <is>
          <t>삼성전자</t>
        </is>
      </c>
      <c r="B254" s="6" t="inlineStr">
        <is>
          <t>A005930</t>
        </is>
      </c>
      <c r="C254" s="7" t="n">
        <v>46134</v>
      </c>
      <c r="D254" s="6" t="n">
        <v>217500</v>
      </c>
      <c r="E254" s="8">
        <f>MAX($D$9:D254)</f>
        <v/>
      </c>
      <c r="F254" s="8">
        <f>D254=MAX($D$9:$D$260)</f>
        <v/>
      </c>
    </row>
    <row r="255">
      <c r="A255" s="6" t="inlineStr">
        <is>
          <t>삼성전자</t>
        </is>
      </c>
      <c r="B255" s="6" t="inlineStr">
        <is>
          <t>A005930</t>
        </is>
      </c>
      <c r="C255" s="7" t="n">
        <v>46135</v>
      </c>
      <c r="D255" s="6" t="n">
        <v>224500</v>
      </c>
      <c r="E255" s="8">
        <f>MAX($D$9:D255)</f>
        <v/>
      </c>
      <c r="F255" s="8">
        <f>D255=MAX($D$9:$D$260)</f>
        <v/>
      </c>
    </row>
    <row r="256">
      <c r="A256" s="6" t="inlineStr">
        <is>
          <t>삼성전자</t>
        </is>
      </c>
      <c r="B256" s="6" t="inlineStr">
        <is>
          <t>A005930</t>
        </is>
      </c>
      <c r="C256" s="7" t="n">
        <v>46136</v>
      </c>
      <c r="D256" s="6" t="n">
        <v>219500</v>
      </c>
      <c r="E256" s="8">
        <f>MAX($D$9:D256)</f>
        <v/>
      </c>
      <c r="F256" s="8">
        <f>D256=MAX($D$9:$D$260)</f>
        <v/>
      </c>
    </row>
    <row r="257">
      <c r="A257" s="6" t="inlineStr">
        <is>
          <t>삼성전자</t>
        </is>
      </c>
      <c r="B257" s="6" t="inlineStr">
        <is>
          <t>A005930</t>
        </is>
      </c>
      <c r="C257" s="7" t="n">
        <v>46139</v>
      </c>
      <c r="D257" s="6" t="n">
        <v>224500</v>
      </c>
      <c r="E257" s="8">
        <f>MAX($D$9:D257)</f>
        <v/>
      </c>
      <c r="F257" s="8">
        <f>D257=MAX($D$9:$D$260)</f>
        <v/>
      </c>
    </row>
    <row r="258">
      <c r="A258" s="6" t="inlineStr">
        <is>
          <t>삼성전자</t>
        </is>
      </c>
      <c r="B258" s="6" t="inlineStr">
        <is>
          <t>A005930</t>
        </is>
      </c>
      <c r="C258" s="7" t="n">
        <v>46140</v>
      </c>
      <c r="D258" s="6" t="n">
        <v>222000</v>
      </c>
      <c r="E258" s="8">
        <f>MAX($D$9:D258)</f>
        <v/>
      </c>
      <c r="F258" s="8">
        <f>D258=MAX($D$9:$D$260)</f>
        <v/>
      </c>
    </row>
    <row r="259">
      <c r="A259" s="6" t="inlineStr">
        <is>
          <t>삼성전자</t>
        </is>
      </c>
      <c r="B259" s="6" t="inlineStr">
        <is>
          <t>A005930</t>
        </is>
      </c>
      <c r="C259" s="7" t="n">
        <v>46141</v>
      </c>
      <c r="D259" s="6" t="n">
        <v>226000</v>
      </c>
      <c r="E259" s="8">
        <f>MAX($D$9:D259)</f>
        <v/>
      </c>
      <c r="F259" s="8">
        <f>D259=MAX($D$9:$D$260)</f>
        <v/>
      </c>
    </row>
    <row r="260">
      <c r="A260" s="6" t="inlineStr">
        <is>
          <t>삼성전자</t>
        </is>
      </c>
      <c r="B260" s="6" t="inlineStr">
        <is>
          <t>A005930</t>
        </is>
      </c>
      <c r="C260" s="7" t="n">
        <v>46142</v>
      </c>
      <c r="D260" s="6" t="n">
        <v>220500</v>
      </c>
      <c r="E260" s="8">
        <f>MAX($D$9:D260)</f>
        <v/>
      </c>
      <c r="F260" s="8">
        <f>D260=MAX($D$9:$D$260)</f>
        <v/>
      </c>
    </row>
    <row r="261">
      <c r="A261" s="6" t="inlineStr">
        <is>
          <t>SK하이닉스</t>
        </is>
      </c>
      <c r="B261" s="6" t="inlineStr">
        <is>
          <t>A000660</t>
        </is>
      </c>
      <c r="C261" s="7" t="n">
        <v>45765</v>
      </c>
      <c r="D261" s="6" t="n">
        <v>175000</v>
      </c>
      <c r="E261" s="8">
        <f>MAX($D$261:D261)</f>
        <v/>
      </c>
      <c r="F261" s="8">
        <f>D261=MAX($D$261:$D$512)</f>
        <v/>
      </c>
    </row>
    <row r="262">
      <c r="A262" s="6" t="inlineStr">
        <is>
          <t>SK하이닉스</t>
        </is>
      </c>
      <c r="B262" s="6" t="inlineStr">
        <is>
          <t>A000660</t>
        </is>
      </c>
      <c r="C262" s="7" t="n">
        <v>45768</v>
      </c>
      <c r="D262" s="6" t="n">
        <v>176600</v>
      </c>
      <c r="E262" s="8">
        <f>MAX($D$261:D262)</f>
        <v/>
      </c>
      <c r="F262" s="8">
        <f>D262=MAX($D$261:$D$512)</f>
        <v/>
      </c>
    </row>
    <row r="263">
      <c r="A263" s="6" t="inlineStr">
        <is>
          <t>SK하이닉스</t>
        </is>
      </c>
      <c r="B263" s="6" t="inlineStr">
        <is>
          <t>A000660</t>
        </is>
      </c>
      <c r="C263" s="7" t="n">
        <v>45769</v>
      </c>
      <c r="D263" s="6" t="n">
        <v>173800</v>
      </c>
      <c r="E263" s="8">
        <f>MAX($D$261:D263)</f>
        <v/>
      </c>
      <c r="F263" s="8">
        <f>D263=MAX($D$261:$D$512)</f>
        <v/>
      </c>
    </row>
    <row r="264">
      <c r="A264" s="6" t="inlineStr">
        <is>
          <t>SK하이닉스</t>
        </is>
      </c>
      <c r="B264" s="6" t="inlineStr">
        <is>
          <t>A000660</t>
        </is>
      </c>
      <c r="C264" s="7" t="n">
        <v>45770</v>
      </c>
      <c r="D264" s="6" t="n">
        <v>181000</v>
      </c>
      <c r="E264" s="8">
        <f>MAX($D$261:D264)</f>
        <v/>
      </c>
      <c r="F264" s="8">
        <f>D264=MAX($D$261:$D$512)</f>
        <v/>
      </c>
    </row>
    <row r="265">
      <c r="A265" s="6" t="inlineStr">
        <is>
          <t>SK하이닉스</t>
        </is>
      </c>
      <c r="B265" s="6" t="inlineStr">
        <is>
          <t>A000660</t>
        </is>
      </c>
      <c r="C265" s="7" t="n">
        <v>45771</v>
      </c>
      <c r="D265" s="6" t="n">
        <v>178300</v>
      </c>
      <c r="E265" s="8">
        <f>MAX($D$261:D265)</f>
        <v/>
      </c>
      <c r="F265" s="8">
        <f>D265=MAX($D$261:$D$512)</f>
        <v/>
      </c>
    </row>
    <row r="266">
      <c r="A266" s="6" t="inlineStr">
        <is>
          <t>SK하이닉스</t>
        </is>
      </c>
      <c r="B266" s="6" t="inlineStr">
        <is>
          <t>A000660</t>
        </is>
      </c>
      <c r="C266" s="7" t="n">
        <v>45772</v>
      </c>
      <c r="D266" s="6" t="n">
        <v>184400</v>
      </c>
      <c r="E266" s="8">
        <f>MAX($D$261:D266)</f>
        <v/>
      </c>
      <c r="F266" s="8">
        <f>D266=MAX($D$261:$D$512)</f>
        <v/>
      </c>
    </row>
    <row r="267">
      <c r="A267" s="6" t="inlineStr">
        <is>
          <t>SK하이닉스</t>
        </is>
      </c>
      <c r="B267" s="6" t="inlineStr">
        <is>
          <t>A000660</t>
        </is>
      </c>
      <c r="C267" s="7" t="n">
        <v>45775</v>
      </c>
      <c r="D267" s="6" t="n">
        <v>182000</v>
      </c>
      <c r="E267" s="8">
        <f>MAX($D$261:D267)</f>
        <v/>
      </c>
      <c r="F267" s="8">
        <f>D267=MAX($D$261:$D$512)</f>
        <v/>
      </c>
    </row>
    <row r="268">
      <c r="A268" s="6" t="inlineStr">
        <is>
          <t>SK하이닉스</t>
        </is>
      </c>
      <c r="B268" s="6" t="inlineStr">
        <is>
          <t>A000660</t>
        </is>
      </c>
      <c r="C268" s="7" t="n">
        <v>45776</v>
      </c>
      <c r="D268" s="6" t="n">
        <v>180800</v>
      </c>
      <c r="E268" s="8">
        <f>MAX($D$261:D268)</f>
        <v/>
      </c>
      <c r="F268" s="8">
        <f>D268=MAX($D$261:$D$512)</f>
        <v/>
      </c>
    </row>
    <row r="269">
      <c r="A269" s="6" t="inlineStr">
        <is>
          <t>SK하이닉스</t>
        </is>
      </c>
      <c r="B269" s="6" t="inlineStr">
        <is>
          <t>A000660</t>
        </is>
      </c>
      <c r="C269" s="7" t="n">
        <v>45777</v>
      </c>
      <c r="D269" s="6" t="n">
        <v>177500</v>
      </c>
      <c r="E269" s="8">
        <f>MAX($D$261:D269)</f>
        <v/>
      </c>
      <c r="F269" s="8">
        <f>D269=MAX($D$261:$D$512)</f>
        <v/>
      </c>
    </row>
    <row r="270">
      <c r="A270" s="6" t="inlineStr">
        <is>
          <t>SK하이닉스</t>
        </is>
      </c>
      <c r="B270" s="6" t="inlineStr">
        <is>
          <t>A000660</t>
        </is>
      </c>
      <c r="C270" s="7" t="n">
        <v>45779</v>
      </c>
      <c r="D270" s="6" t="n">
        <v>186000</v>
      </c>
      <c r="E270" s="8">
        <f>MAX($D$261:D270)</f>
        <v/>
      </c>
      <c r="F270" s="8">
        <f>D270=MAX($D$261:$D$512)</f>
        <v/>
      </c>
    </row>
    <row r="271">
      <c r="A271" s="6" t="inlineStr">
        <is>
          <t>SK하이닉스</t>
        </is>
      </c>
      <c r="B271" s="6" t="inlineStr">
        <is>
          <t>A000660</t>
        </is>
      </c>
      <c r="C271" s="7" t="n">
        <v>45784</v>
      </c>
      <c r="D271" s="6" t="n">
        <v>190800</v>
      </c>
      <c r="E271" s="8">
        <f>MAX($D$261:D271)</f>
        <v/>
      </c>
      <c r="F271" s="8">
        <f>D271=MAX($D$261:$D$512)</f>
        <v/>
      </c>
    </row>
    <row r="272">
      <c r="A272" s="6" t="inlineStr">
        <is>
          <t>SK하이닉스</t>
        </is>
      </c>
      <c r="B272" s="6" t="inlineStr">
        <is>
          <t>A000660</t>
        </is>
      </c>
      <c r="C272" s="7" t="n">
        <v>45785</v>
      </c>
      <c r="D272" s="6" t="n">
        <v>190300</v>
      </c>
      <c r="E272" s="8">
        <f>MAX($D$261:D272)</f>
        <v/>
      </c>
      <c r="F272" s="8">
        <f>D272=MAX($D$261:$D$512)</f>
        <v/>
      </c>
    </row>
    <row r="273">
      <c r="A273" s="6" t="inlineStr">
        <is>
          <t>SK하이닉스</t>
        </is>
      </c>
      <c r="B273" s="6" t="inlineStr">
        <is>
          <t>A000660</t>
        </is>
      </c>
      <c r="C273" s="7" t="n">
        <v>45786</v>
      </c>
      <c r="D273" s="6" t="n">
        <v>190100</v>
      </c>
      <c r="E273" s="8">
        <f>MAX($D$261:D273)</f>
        <v/>
      </c>
      <c r="F273" s="8">
        <f>D273=MAX($D$261:$D$512)</f>
        <v/>
      </c>
    </row>
    <row r="274">
      <c r="A274" s="6" t="inlineStr">
        <is>
          <t>SK하이닉스</t>
        </is>
      </c>
      <c r="B274" s="6" t="inlineStr">
        <is>
          <t>A000660</t>
        </is>
      </c>
      <c r="C274" s="7" t="n">
        <v>45789</v>
      </c>
      <c r="D274" s="6" t="n">
        <v>195000</v>
      </c>
      <c r="E274" s="8">
        <f>MAX($D$261:D274)</f>
        <v/>
      </c>
      <c r="F274" s="8">
        <f>D274=MAX($D$261:$D$512)</f>
        <v/>
      </c>
    </row>
    <row r="275">
      <c r="A275" s="6" t="inlineStr">
        <is>
          <t>SK하이닉스</t>
        </is>
      </c>
      <c r="B275" s="6" t="inlineStr">
        <is>
          <t>A000660</t>
        </is>
      </c>
      <c r="C275" s="7" t="n">
        <v>45790</v>
      </c>
      <c r="D275" s="6" t="n">
        <v>198500</v>
      </c>
      <c r="E275" s="8">
        <f>MAX($D$261:D275)</f>
        <v/>
      </c>
      <c r="F275" s="8">
        <f>D275=MAX($D$261:$D$512)</f>
        <v/>
      </c>
    </row>
    <row r="276">
      <c r="A276" s="6" t="inlineStr">
        <is>
          <t>SK하이닉스</t>
        </is>
      </c>
      <c r="B276" s="6" t="inlineStr">
        <is>
          <t>A000660</t>
        </is>
      </c>
      <c r="C276" s="7" t="n">
        <v>45791</v>
      </c>
      <c r="D276" s="6" t="n">
        <v>206000</v>
      </c>
      <c r="E276" s="8">
        <f>MAX($D$261:D276)</f>
        <v/>
      </c>
      <c r="F276" s="8">
        <f>D276=MAX($D$261:$D$512)</f>
        <v/>
      </c>
    </row>
    <row r="277">
      <c r="A277" s="6" t="inlineStr">
        <is>
          <t>SK하이닉스</t>
        </is>
      </c>
      <c r="B277" s="6" t="inlineStr">
        <is>
          <t>A000660</t>
        </is>
      </c>
      <c r="C277" s="7" t="n">
        <v>45792</v>
      </c>
      <c r="D277" s="6" t="n">
        <v>200500</v>
      </c>
      <c r="E277" s="8">
        <f>MAX($D$261:D277)</f>
        <v/>
      </c>
      <c r="F277" s="8">
        <f>D277=MAX($D$261:$D$512)</f>
        <v/>
      </c>
    </row>
    <row r="278">
      <c r="A278" s="6" t="inlineStr">
        <is>
          <t>SK하이닉스</t>
        </is>
      </c>
      <c r="B278" s="6" t="inlineStr">
        <is>
          <t>A000660</t>
        </is>
      </c>
      <c r="C278" s="7" t="n">
        <v>45793</v>
      </c>
      <c r="D278" s="6" t="n">
        <v>204500</v>
      </c>
      <c r="E278" s="8">
        <f>MAX($D$261:D278)</f>
        <v/>
      </c>
      <c r="F278" s="8">
        <f>D278=MAX($D$261:$D$512)</f>
        <v/>
      </c>
    </row>
    <row r="279">
      <c r="A279" s="6" t="inlineStr">
        <is>
          <t>SK하이닉스</t>
        </is>
      </c>
      <c r="B279" s="6" t="inlineStr">
        <is>
          <t>A000660</t>
        </is>
      </c>
      <c r="C279" s="7" t="n">
        <v>45796</v>
      </c>
      <c r="D279" s="6" t="n">
        <v>199400</v>
      </c>
      <c r="E279" s="8">
        <f>MAX($D$261:D279)</f>
        <v/>
      </c>
      <c r="F279" s="8">
        <f>D279=MAX($D$261:$D$512)</f>
        <v/>
      </c>
    </row>
    <row r="280">
      <c r="A280" s="6" t="inlineStr">
        <is>
          <t>SK하이닉스</t>
        </is>
      </c>
      <c r="B280" s="6" t="inlineStr">
        <is>
          <t>A000660</t>
        </is>
      </c>
      <c r="C280" s="7" t="n">
        <v>45797</v>
      </c>
      <c r="D280" s="6" t="n">
        <v>202000</v>
      </c>
      <c r="E280" s="8">
        <f>MAX($D$261:D280)</f>
        <v/>
      </c>
      <c r="F280" s="8">
        <f>D280=MAX($D$261:$D$512)</f>
        <v/>
      </c>
    </row>
    <row r="281">
      <c r="A281" s="6" t="inlineStr">
        <is>
          <t>SK하이닉스</t>
        </is>
      </c>
      <c r="B281" s="6" t="inlineStr">
        <is>
          <t>A000660</t>
        </is>
      </c>
      <c r="C281" s="7" t="n">
        <v>45798</v>
      </c>
      <c r="D281" s="6" t="n">
        <v>200500</v>
      </c>
      <c r="E281" s="8">
        <f>MAX($D$261:D281)</f>
        <v/>
      </c>
      <c r="F281" s="8">
        <f>D281=MAX($D$261:$D$512)</f>
        <v/>
      </c>
    </row>
    <row r="282">
      <c r="A282" s="6" t="inlineStr">
        <is>
          <t>SK하이닉스</t>
        </is>
      </c>
      <c r="B282" s="6" t="inlineStr">
        <is>
          <t>A000660</t>
        </is>
      </c>
      <c r="C282" s="7" t="n">
        <v>45799</v>
      </c>
      <c r="D282" s="6" t="n">
        <v>196900</v>
      </c>
      <c r="E282" s="8">
        <f>MAX($D$261:D282)</f>
        <v/>
      </c>
      <c r="F282" s="8">
        <f>D282=MAX($D$261:$D$512)</f>
        <v/>
      </c>
    </row>
    <row r="283">
      <c r="A283" s="6" t="inlineStr">
        <is>
          <t>SK하이닉스</t>
        </is>
      </c>
      <c r="B283" s="6" t="inlineStr">
        <is>
          <t>A000660</t>
        </is>
      </c>
      <c r="C283" s="7" t="n">
        <v>45800</v>
      </c>
      <c r="D283" s="6" t="n">
        <v>200000</v>
      </c>
      <c r="E283" s="8">
        <f>MAX($D$261:D283)</f>
        <v/>
      </c>
      <c r="F283" s="8">
        <f>D283=MAX($D$261:$D$512)</f>
        <v/>
      </c>
    </row>
    <row r="284">
      <c r="A284" s="6" t="inlineStr">
        <is>
          <t>SK하이닉스</t>
        </is>
      </c>
      <c r="B284" s="6" t="inlineStr">
        <is>
          <t>A000660</t>
        </is>
      </c>
      <c r="C284" s="7" t="n">
        <v>45803</v>
      </c>
      <c r="D284" s="6" t="n">
        <v>203000</v>
      </c>
      <c r="E284" s="8">
        <f>MAX($D$261:D284)</f>
        <v/>
      </c>
      <c r="F284" s="8">
        <f>D284=MAX($D$261:$D$512)</f>
        <v/>
      </c>
    </row>
    <row r="285">
      <c r="A285" s="6" t="inlineStr">
        <is>
          <t>SK하이닉스</t>
        </is>
      </c>
      <c r="B285" s="6" t="inlineStr">
        <is>
          <t>A000660</t>
        </is>
      </c>
      <c r="C285" s="7" t="n">
        <v>45804</v>
      </c>
      <c r="D285" s="6" t="n">
        <v>202500</v>
      </c>
      <c r="E285" s="8">
        <f>MAX($D$261:D285)</f>
        <v/>
      </c>
      <c r="F285" s="8">
        <f>D285=MAX($D$261:$D$512)</f>
        <v/>
      </c>
    </row>
    <row r="286">
      <c r="A286" s="6" t="inlineStr">
        <is>
          <t>SK하이닉스</t>
        </is>
      </c>
      <c r="B286" s="6" t="inlineStr">
        <is>
          <t>A000660</t>
        </is>
      </c>
      <c r="C286" s="7" t="n">
        <v>45805</v>
      </c>
      <c r="D286" s="6" t="n">
        <v>208000</v>
      </c>
      <c r="E286" s="8">
        <f>MAX($D$261:D286)</f>
        <v/>
      </c>
      <c r="F286" s="8">
        <f>D286=MAX($D$261:$D$512)</f>
        <v/>
      </c>
    </row>
    <row r="287">
      <c r="A287" s="6" t="inlineStr">
        <is>
          <t>SK하이닉스</t>
        </is>
      </c>
      <c r="B287" s="6" t="inlineStr">
        <is>
          <t>A000660</t>
        </is>
      </c>
      <c r="C287" s="7" t="n">
        <v>45806</v>
      </c>
      <c r="D287" s="6" t="n">
        <v>212000</v>
      </c>
      <c r="E287" s="8">
        <f>MAX($D$261:D287)</f>
        <v/>
      </c>
      <c r="F287" s="8">
        <f>D287=MAX($D$261:$D$512)</f>
        <v/>
      </c>
    </row>
    <row r="288">
      <c r="A288" s="6" t="inlineStr">
        <is>
          <t>SK하이닉스</t>
        </is>
      </c>
      <c r="B288" s="6" t="inlineStr">
        <is>
          <t>A000660</t>
        </is>
      </c>
      <c r="C288" s="7" t="n">
        <v>45807</v>
      </c>
      <c r="D288" s="6" t="n">
        <v>204500</v>
      </c>
      <c r="E288" s="8">
        <f>MAX($D$261:D288)</f>
        <v/>
      </c>
      <c r="F288" s="8">
        <f>D288=MAX($D$261:$D$512)</f>
        <v/>
      </c>
    </row>
    <row r="289">
      <c r="A289" s="6" t="inlineStr">
        <is>
          <t>SK하이닉스</t>
        </is>
      </c>
      <c r="B289" s="6" t="inlineStr">
        <is>
          <t>A000660</t>
        </is>
      </c>
      <c r="C289" s="7" t="n">
        <v>45810</v>
      </c>
      <c r="D289" s="6" t="n">
        <v>207500</v>
      </c>
      <c r="E289" s="8">
        <f>MAX($D$261:D289)</f>
        <v/>
      </c>
      <c r="F289" s="8">
        <f>D289=MAX($D$261:$D$512)</f>
        <v/>
      </c>
    </row>
    <row r="290">
      <c r="A290" s="6" t="inlineStr">
        <is>
          <t>SK하이닉스</t>
        </is>
      </c>
      <c r="B290" s="6" t="inlineStr">
        <is>
          <t>A000660</t>
        </is>
      </c>
      <c r="C290" s="7" t="n">
        <v>45812</v>
      </c>
      <c r="D290" s="6" t="n">
        <v>217500</v>
      </c>
      <c r="E290" s="8">
        <f>MAX($D$261:D290)</f>
        <v/>
      </c>
      <c r="F290" s="8">
        <f>D290=MAX($D$261:$D$512)</f>
        <v/>
      </c>
    </row>
    <row r="291">
      <c r="A291" s="6" t="inlineStr">
        <is>
          <t>SK하이닉스</t>
        </is>
      </c>
      <c r="B291" s="6" t="inlineStr">
        <is>
          <t>A000660</t>
        </is>
      </c>
      <c r="C291" s="7" t="n">
        <v>45813</v>
      </c>
      <c r="D291" s="6" t="n">
        <v>224500</v>
      </c>
      <c r="E291" s="8">
        <f>MAX($D$261:D291)</f>
        <v/>
      </c>
      <c r="F291" s="8">
        <f>D291=MAX($D$261:$D$512)</f>
        <v/>
      </c>
    </row>
    <row r="292">
      <c r="A292" s="6" t="inlineStr">
        <is>
          <t>SK하이닉스</t>
        </is>
      </c>
      <c r="B292" s="6" t="inlineStr">
        <is>
          <t>A000660</t>
        </is>
      </c>
      <c r="C292" s="7" t="n">
        <v>45817</v>
      </c>
      <c r="D292" s="6" t="n">
        <v>229000</v>
      </c>
      <c r="E292" s="8">
        <f>MAX($D$261:D292)</f>
        <v/>
      </c>
      <c r="F292" s="8">
        <f>D292=MAX($D$261:$D$512)</f>
        <v/>
      </c>
    </row>
    <row r="293">
      <c r="A293" s="6" t="inlineStr">
        <is>
          <t>SK하이닉스</t>
        </is>
      </c>
      <c r="B293" s="6" t="inlineStr">
        <is>
          <t>A000660</t>
        </is>
      </c>
      <c r="C293" s="7" t="n">
        <v>45818</v>
      </c>
      <c r="D293" s="6" t="n">
        <v>230500</v>
      </c>
      <c r="E293" s="8">
        <f>MAX($D$261:D293)</f>
        <v/>
      </c>
      <c r="F293" s="8">
        <f>D293=MAX($D$261:$D$512)</f>
        <v/>
      </c>
    </row>
    <row r="294">
      <c r="A294" s="6" t="inlineStr">
        <is>
          <t>SK하이닉스</t>
        </is>
      </c>
      <c r="B294" s="6" t="inlineStr">
        <is>
          <t>A000660</t>
        </is>
      </c>
      <c r="C294" s="7" t="n">
        <v>45819</v>
      </c>
      <c r="D294" s="6" t="n">
        <v>240000</v>
      </c>
      <c r="E294" s="8">
        <f>MAX($D$261:D294)</f>
        <v/>
      </c>
      <c r="F294" s="8">
        <f>D294=MAX($D$261:$D$512)</f>
        <v/>
      </c>
    </row>
    <row r="295">
      <c r="A295" s="6" t="inlineStr">
        <is>
          <t>SK하이닉스</t>
        </is>
      </c>
      <c r="B295" s="6" t="inlineStr">
        <is>
          <t>A000660</t>
        </is>
      </c>
      <c r="C295" s="7" t="n">
        <v>45820</v>
      </c>
      <c r="D295" s="6" t="n">
        <v>235500</v>
      </c>
      <c r="E295" s="8">
        <f>MAX($D$261:D295)</f>
        <v/>
      </c>
      <c r="F295" s="8">
        <f>D295=MAX($D$261:$D$512)</f>
        <v/>
      </c>
    </row>
    <row r="296">
      <c r="A296" s="6" t="inlineStr">
        <is>
          <t>SK하이닉스</t>
        </is>
      </c>
      <c r="B296" s="6" t="inlineStr">
        <is>
          <t>A000660</t>
        </is>
      </c>
      <c r="C296" s="7" t="n">
        <v>45821</v>
      </c>
      <c r="D296" s="6" t="n">
        <v>235500</v>
      </c>
      <c r="E296" s="8">
        <f>MAX($D$261:D296)</f>
        <v/>
      </c>
      <c r="F296" s="8">
        <f>D296=MAX($D$261:$D$512)</f>
        <v/>
      </c>
    </row>
    <row r="297">
      <c r="A297" s="6" t="inlineStr">
        <is>
          <t>SK하이닉스</t>
        </is>
      </c>
      <c r="B297" s="6" t="inlineStr">
        <is>
          <t>A000660</t>
        </is>
      </c>
      <c r="C297" s="7" t="n">
        <v>45824</v>
      </c>
      <c r="D297" s="6" t="n">
        <v>248000</v>
      </c>
      <c r="E297" s="8">
        <f>MAX($D$261:D297)</f>
        <v/>
      </c>
      <c r="F297" s="8">
        <f>D297=MAX($D$261:$D$512)</f>
        <v/>
      </c>
    </row>
    <row r="298">
      <c r="A298" s="6" t="inlineStr">
        <is>
          <t>SK하이닉스</t>
        </is>
      </c>
      <c r="B298" s="6" t="inlineStr">
        <is>
          <t>A000660</t>
        </is>
      </c>
      <c r="C298" s="7" t="n">
        <v>45825</v>
      </c>
      <c r="D298" s="6" t="n">
        <v>249000</v>
      </c>
      <c r="E298" s="8">
        <f>MAX($D$261:D298)</f>
        <v/>
      </c>
      <c r="F298" s="8">
        <f>D298=MAX($D$261:$D$512)</f>
        <v/>
      </c>
    </row>
    <row r="299">
      <c r="A299" s="6" t="inlineStr">
        <is>
          <t>SK하이닉스</t>
        </is>
      </c>
      <c r="B299" s="6" t="inlineStr">
        <is>
          <t>A000660</t>
        </is>
      </c>
      <c r="C299" s="7" t="n">
        <v>45826</v>
      </c>
      <c r="D299" s="6" t="n">
        <v>246500</v>
      </c>
      <c r="E299" s="8">
        <f>MAX($D$261:D299)</f>
        <v/>
      </c>
      <c r="F299" s="8">
        <f>D299=MAX($D$261:$D$512)</f>
        <v/>
      </c>
    </row>
    <row r="300">
      <c r="A300" s="6" t="inlineStr">
        <is>
          <t>SK하이닉스</t>
        </is>
      </c>
      <c r="B300" s="6" t="inlineStr">
        <is>
          <t>A000660</t>
        </is>
      </c>
      <c r="C300" s="7" t="n">
        <v>45827</v>
      </c>
      <c r="D300" s="6" t="n">
        <v>246000</v>
      </c>
      <c r="E300" s="8">
        <f>MAX($D$261:D300)</f>
        <v/>
      </c>
      <c r="F300" s="8">
        <f>D300=MAX($D$261:$D$512)</f>
        <v/>
      </c>
    </row>
    <row r="301">
      <c r="A301" s="6" t="inlineStr">
        <is>
          <t>SK하이닉스</t>
        </is>
      </c>
      <c r="B301" s="6" t="inlineStr">
        <is>
          <t>A000660</t>
        </is>
      </c>
      <c r="C301" s="7" t="n">
        <v>45828</v>
      </c>
      <c r="D301" s="6" t="n">
        <v>257000</v>
      </c>
      <c r="E301" s="8">
        <f>MAX($D$261:D301)</f>
        <v/>
      </c>
      <c r="F301" s="8">
        <f>D301=MAX($D$261:$D$512)</f>
        <v/>
      </c>
    </row>
    <row r="302">
      <c r="A302" s="6" t="inlineStr">
        <is>
          <t>SK하이닉스</t>
        </is>
      </c>
      <c r="B302" s="6" t="inlineStr">
        <is>
          <t>A000660</t>
        </is>
      </c>
      <c r="C302" s="7" t="n">
        <v>45831</v>
      </c>
      <c r="D302" s="6" t="n">
        <v>259500</v>
      </c>
      <c r="E302" s="8">
        <f>MAX($D$261:D302)</f>
        <v/>
      </c>
      <c r="F302" s="8">
        <f>D302=MAX($D$261:$D$512)</f>
        <v/>
      </c>
    </row>
    <row r="303">
      <c r="A303" s="6" t="inlineStr">
        <is>
          <t>SK하이닉스</t>
        </is>
      </c>
      <c r="B303" s="6" t="inlineStr">
        <is>
          <t>A000660</t>
        </is>
      </c>
      <c r="C303" s="7" t="n">
        <v>45832</v>
      </c>
      <c r="D303" s="6" t="n">
        <v>278500</v>
      </c>
      <c r="E303" s="8">
        <f>MAX($D$261:D303)</f>
        <v/>
      </c>
      <c r="F303" s="8">
        <f>D303=MAX($D$261:$D$512)</f>
        <v/>
      </c>
    </row>
    <row r="304">
      <c r="A304" s="6" t="inlineStr">
        <is>
          <t>SK하이닉스</t>
        </is>
      </c>
      <c r="B304" s="6" t="inlineStr">
        <is>
          <t>A000660</t>
        </is>
      </c>
      <c r="C304" s="7" t="n">
        <v>45833</v>
      </c>
      <c r="D304" s="6" t="n">
        <v>286000</v>
      </c>
      <c r="E304" s="8">
        <f>MAX($D$261:D304)</f>
        <v/>
      </c>
      <c r="F304" s="8">
        <f>D304=MAX($D$261:$D$512)</f>
        <v/>
      </c>
    </row>
    <row r="305">
      <c r="A305" s="6" t="inlineStr">
        <is>
          <t>SK하이닉스</t>
        </is>
      </c>
      <c r="B305" s="6" t="inlineStr">
        <is>
          <t>A000660</t>
        </is>
      </c>
      <c r="C305" s="7" t="n">
        <v>45834</v>
      </c>
      <c r="D305" s="6" t="n">
        <v>293000</v>
      </c>
      <c r="E305" s="8">
        <f>MAX($D$261:D305)</f>
        <v/>
      </c>
      <c r="F305" s="8">
        <f>D305=MAX($D$261:$D$512)</f>
        <v/>
      </c>
    </row>
    <row r="306">
      <c r="A306" s="6" t="inlineStr">
        <is>
          <t>SK하이닉스</t>
        </is>
      </c>
      <c r="B306" s="6" t="inlineStr">
        <is>
          <t>A000660</t>
        </is>
      </c>
      <c r="C306" s="7" t="n">
        <v>45835</v>
      </c>
      <c r="D306" s="6" t="n">
        <v>284000</v>
      </c>
      <c r="E306" s="8">
        <f>MAX($D$261:D306)</f>
        <v/>
      </c>
      <c r="F306" s="8">
        <f>D306=MAX($D$261:$D$512)</f>
        <v/>
      </c>
    </row>
    <row r="307">
      <c r="A307" s="6" t="inlineStr">
        <is>
          <t>SK하이닉스</t>
        </is>
      </c>
      <c r="B307" s="6" t="inlineStr">
        <is>
          <t>A000660</t>
        </is>
      </c>
      <c r="C307" s="7" t="n">
        <v>45838</v>
      </c>
      <c r="D307" s="6" t="n">
        <v>292000</v>
      </c>
      <c r="E307" s="8">
        <f>MAX($D$261:D307)</f>
        <v/>
      </c>
      <c r="F307" s="8">
        <f>D307=MAX($D$261:$D$512)</f>
        <v/>
      </c>
    </row>
    <row r="308">
      <c r="A308" s="6" t="inlineStr">
        <is>
          <t>SK하이닉스</t>
        </is>
      </c>
      <c r="B308" s="6" t="inlineStr">
        <is>
          <t>A000660</t>
        </is>
      </c>
      <c r="C308" s="7" t="n">
        <v>45839</v>
      </c>
      <c r="D308" s="6" t="n">
        <v>285500</v>
      </c>
      <c r="E308" s="8">
        <f>MAX($D$261:D308)</f>
        <v/>
      </c>
      <c r="F308" s="8">
        <f>D308=MAX($D$261:$D$512)</f>
        <v/>
      </c>
    </row>
    <row r="309">
      <c r="A309" s="6" t="inlineStr">
        <is>
          <t>SK하이닉스</t>
        </is>
      </c>
      <c r="B309" s="6" t="inlineStr">
        <is>
          <t>A000660</t>
        </is>
      </c>
      <c r="C309" s="7" t="n">
        <v>45840</v>
      </c>
      <c r="D309" s="6" t="n">
        <v>279000</v>
      </c>
      <c r="E309" s="8">
        <f>MAX($D$261:D309)</f>
        <v/>
      </c>
      <c r="F309" s="8">
        <f>D309=MAX($D$261:$D$512)</f>
        <v/>
      </c>
    </row>
    <row r="310">
      <c r="A310" s="6" t="inlineStr">
        <is>
          <t>SK하이닉스</t>
        </is>
      </c>
      <c r="B310" s="6" t="inlineStr">
        <is>
          <t>A000660</t>
        </is>
      </c>
      <c r="C310" s="7" t="n">
        <v>45841</v>
      </c>
      <c r="D310" s="6" t="n">
        <v>278500</v>
      </c>
      <c r="E310" s="8">
        <f>MAX($D$261:D310)</f>
        <v/>
      </c>
      <c r="F310" s="8">
        <f>D310=MAX($D$261:$D$512)</f>
        <v/>
      </c>
    </row>
    <row r="311">
      <c r="A311" s="6" t="inlineStr">
        <is>
          <t>SK하이닉스</t>
        </is>
      </c>
      <c r="B311" s="6" t="inlineStr">
        <is>
          <t>A000660</t>
        </is>
      </c>
      <c r="C311" s="7" t="n">
        <v>45842</v>
      </c>
      <c r="D311" s="6" t="n">
        <v>270500</v>
      </c>
      <c r="E311" s="8">
        <f>MAX($D$261:D311)</f>
        <v/>
      </c>
      <c r="F311" s="8">
        <f>D311=MAX($D$261:$D$512)</f>
        <v/>
      </c>
    </row>
    <row r="312">
      <c r="A312" s="6" t="inlineStr">
        <is>
          <t>SK하이닉스</t>
        </is>
      </c>
      <c r="B312" s="6" t="inlineStr">
        <is>
          <t>A000660</t>
        </is>
      </c>
      <c r="C312" s="7" t="n">
        <v>45845</v>
      </c>
      <c r="D312" s="6" t="n">
        <v>271000</v>
      </c>
      <c r="E312" s="8">
        <f>MAX($D$261:D312)</f>
        <v/>
      </c>
      <c r="F312" s="8">
        <f>D312=MAX($D$261:$D$512)</f>
        <v/>
      </c>
    </row>
    <row r="313">
      <c r="A313" s="6" t="inlineStr">
        <is>
          <t>SK하이닉스</t>
        </is>
      </c>
      <c r="B313" s="6" t="inlineStr">
        <is>
          <t>A000660</t>
        </is>
      </c>
      <c r="C313" s="7" t="n">
        <v>45846</v>
      </c>
      <c r="D313" s="6" t="n">
        <v>282000</v>
      </c>
      <c r="E313" s="8">
        <f>MAX($D$261:D313)</f>
        <v/>
      </c>
      <c r="F313" s="8">
        <f>D313=MAX($D$261:$D$512)</f>
        <v/>
      </c>
    </row>
    <row r="314">
      <c r="A314" s="6" t="inlineStr">
        <is>
          <t>SK하이닉스</t>
        </is>
      </c>
      <c r="B314" s="6" t="inlineStr">
        <is>
          <t>A000660</t>
        </is>
      </c>
      <c r="C314" s="7" t="n">
        <v>45847</v>
      </c>
      <c r="D314" s="6" t="n">
        <v>281000</v>
      </c>
      <c r="E314" s="8">
        <f>MAX($D$261:D314)</f>
        <v/>
      </c>
      <c r="F314" s="8">
        <f>D314=MAX($D$261:$D$512)</f>
        <v/>
      </c>
    </row>
    <row r="315">
      <c r="A315" s="6" t="inlineStr">
        <is>
          <t>SK하이닉스</t>
        </is>
      </c>
      <c r="B315" s="6" t="inlineStr">
        <is>
          <t>A000660</t>
        </is>
      </c>
      <c r="C315" s="7" t="n">
        <v>45848</v>
      </c>
      <c r="D315" s="6" t="n">
        <v>297000</v>
      </c>
      <c r="E315" s="8">
        <f>MAX($D$261:D315)</f>
        <v/>
      </c>
      <c r="F315" s="8">
        <f>D315=MAX($D$261:$D$512)</f>
        <v/>
      </c>
    </row>
    <row r="316">
      <c r="A316" s="6" t="inlineStr">
        <is>
          <t>SK하이닉스</t>
        </is>
      </c>
      <c r="B316" s="6" t="inlineStr">
        <is>
          <t>A000660</t>
        </is>
      </c>
      <c r="C316" s="7" t="n">
        <v>45849</v>
      </c>
      <c r="D316" s="6" t="n">
        <v>294500</v>
      </c>
      <c r="E316" s="8">
        <f>MAX($D$261:D316)</f>
        <v/>
      </c>
      <c r="F316" s="8">
        <f>D316=MAX($D$261:$D$512)</f>
        <v/>
      </c>
    </row>
    <row r="317">
      <c r="A317" s="6" t="inlineStr">
        <is>
          <t>SK하이닉스</t>
        </is>
      </c>
      <c r="B317" s="6" t="inlineStr">
        <is>
          <t>A000660</t>
        </is>
      </c>
      <c r="C317" s="7" t="n">
        <v>45852</v>
      </c>
      <c r="D317" s="6" t="n">
        <v>300000</v>
      </c>
      <c r="E317" s="8">
        <f>MAX($D$261:D317)</f>
        <v/>
      </c>
      <c r="F317" s="8">
        <f>D317=MAX($D$261:$D$512)</f>
        <v/>
      </c>
    </row>
    <row r="318">
      <c r="A318" s="6" t="inlineStr">
        <is>
          <t>SK하이닉스</t>
        </is>
      </c>
      <c r="B318" s="6" t="inlineStr">
        <is>
          <t>A000660</t>
        </is>
      </c>
      <c r="C318" s="7" t="n">
        <v>45853</v>
      </c>
      <c r="D318" s="6" t="n">
        <v>298500</v>
      </c>
      <c r="E318" s="8">
        <f>MAX($D$261:D318)</f>
        <v/>
      </c>
      <c r="F318" s="8">
        <f>D318=MAX($D$261:$D$512)</f>
        <v/>
      </c>
    </row>
    <row r="319">
      <c r="A319" s="6" t="inlineStr">
        <is>
          <t>SK하이닉스</t>
        </is>
      </c>
      <c r="B319" s="6" t="inlineStr">
        <is>
          <t>A000660</t>
        </is>
      </c>
      <c r="C319" s="7" t="n">
        <v>45854</v>
      </c>
      <c r="D319" s="6" t="n">
        <v>296000</v>
      </c>
      <c r="E319" s="8">
        <f>MAX($D$261:D319)</f>
        <v/>
      </c>
      <c r="F319" s="8">
        <f>D319=MAX($D$261:$D$512)</f>
        <v/>
      </c>
    </row>
    <row r="320">
      <c r="A320" s="6" t="inlineStr">
        <is>
          <t>SK하이닉스</t>
        </is>
      </c>
      <c r="B320" s="6" t="inlineStr">
        <is>
          <t>A000660</t>
        </is>
      </c>
      <c r="C320" s="7" t="n">
        <v>45855</v>
      </c>
      <c r="D320" s="6" t="n">
        <v>269500</v>
      </c>
      <c r="E320" s="8">
        <f>MAX($D$261:D320)</f>
        <v/>
      </c>
      <c r="F320" s="8">
        <f>D320=MAX($D$261:$D$512)</f>
        <v/>
      </c>
    </row>
    <row r="321">
      <c r="A321" s="6" t="inlineStr">
        <is>
          <t>SK하이닉스</t>
        </is>
      </c>
      <c r="B321" s="6" t="inlineStr">
        <is>
          <t>A000660</t>
        </is>
      </c>
      <c r="C321" s="7" t="n">
        <v>45856</v>
      </c>
      <c r="D321" s="6" t="n">
        <v>269000</v>
      </c>
      <c r="E321" s="8">
        <f>MAX($D$261:D321)</f>
        <v/>
      </c>
      <c r="F321" s="8">
        <f>D321=MAX($D$261:$D$512)</f>
        <v/>
      </c>
    </row>
    <row r="322">
      <c r="A322" s="6" t="inlineStr">
        <is>
          <t>SK하이닉스</t>
        </is>
      </c>
      <c r="B322" s="6" t="inlineStr">
        <is>
          <t>A000660</t>
        </is>
      </c>
      <c r="C322" s="7" t="n">
        <v>45859</v>
      </c>
      <c r="D322" s="6" t="n">
        <v>272500</v>
      </c>
      <c r="E322" s="8">
        <f>MAX($D$261:D322)</f>
        <v/>
      </c>
      <c r="F322" s="8">
        <f>D322=MAX($D$261:$D$512)</f>
        <v/>
      </c>
    </row>
    <row r="323">
      <c r="A323" s="6" t="inlineStr">
        <is>
          <t>SK하이닉스</t>
        </is>
      </c>
      <c r="B323" s="6" t="inlineStr">
        <is>
          <t>A000660</t>
        </is>
      </c>
      <c r="C323" s="7" t="n">
        <v>45860</v>
      </c>
      <c r="D323" s="6" t="n">
        <v>268500</v>
      </c>
      <c r="E323" s="8">
        <f>MAX($D$261:D323)</f>
        <v/>
      </c>
      <c r="F323" s="8">
        <f>D323=MAX($D$261:$D$512)</f>
        <v/>
      </c>
    </row>
    <row r="324">
      <c r="A324" s="6" t="inlineStr">
        <is>
          <t>SK하이닉스</t>
        </is>
      </c>
      <c r="B324" s="6" t="inlineStr">
        <is>
          <t>A000660</t>
        </is>
      </c>
      <c r="C324" s="7" t="n">
        <v>45861</v>
      </c>
      <c r="D324" s="6" t="n">
        <v>269000</v>
      </c>
      <c r="E324" s="8">
        <f>MAX($D$261:D324)</f>
        <v/>
      </c>
      <c r="F324" s="8">
        <f>D324=MAX($D$261:$D$512)</f>
        <v/>
      </c>
    </row>
    <row r="325">
      <c r="A325" s="6" t="inlineStr">
        <is>
          <t>SK하이닉스</t>
        </is>
      </c>
      <c r="B325" s="6" t="inlineStr">
        <is>
          <t>A000660</t>
        </is>
      </c>
      <c r="C325" s="7" t="n">
        <v>45862</v>
      </c>
      <c r="D325" s="6" t="n">
        <v>269500</v>
      </c>
      <c r="E325" s="8">
        <f>MAX($D$261:D325)</f>
        <v/>
      </c>
      <c r="F325" s="8">
        <f>D325=MAX($D$261:$D$512)</f>
        <v/>
      </c>
    </row>
    <row r="326">
      <c r="A326" s="6" t="inlineStr">
        <is>
          <t>SK하이닉스</t>
        </is>
      </c>
      <c r="B326" s="6" t="inlineStr">
        <is>
          <t>A000660</t>
        </is>
      </c>
      <c r="C326" s="7" t="n">
        <v>45863</v>
      </c>
      <c r="D326" s="6" t="n">
        <v>266000</v>
      </c>
      <c r="E326" s="8">
        <f>MAX($D$261:D326)</f>
        <v/>
      </c>
      <c r="F326" s="8">
        <f>D326=MAX($D$261:$D$512)</f>
        <v/>
      </c>
    </row>
    <row r="327">
      <c r="A327" s="6" t="inlineStr">
        <is>
          <t>SK하이닉스</t>
        </is>
      </c>
      <c r="B327" s="6" t="inlineStr">
        <is>
          <t>A000660</t>
        </is>
      </c>
      <c r="C327" s="7" t="n">
        <v>45866</v>
      </c>
      <c r="D327" s="6" t="n">
        <v>262000</v>
      </c>
      <c r="E327" s="8">
        <f>MAX($D$261:D327)</f>
        <v/>
      </c>
      <c r="F327" s="8">
        <f>D327=MAX($D$261:$D$512)</f>
        <v/>
      </c>
    </row>
    <row r="328">
      <c r="A328" s="6" t="inlineStr">
        <is>
          <t>SK하이닉스</t>
        </is>
      </c>
      <c r="B328" s="6" t="inlineStr">
        <is>
          <t>A000660</t>
        </is>
      </c>
      <c r="C328" s="7" t="n">
        <v>45867</v>
      </c>
      <c r="D328" s="6" t="n">
        <v>262500</v>
      </c>
      <c r="E328" s="8">
        <f>MAX($D$261:D328)</f>
        <v/>
      </c>
      <c r="F328" s="8">
        <f>D328=MAX($D$261:$D$512)</f>
        <v/>
      </c>
    </row>
    <row r="329">
      <c r="A329" s="6" t="inlineStr">
        <is>
          <t>SK하이닉스</t>
        </is>
      </c>
      <c r="B329" s="6" t="inlineStr">
        <is>
          <t>A000660</t>
        </is>
      </c>
      <c r="C329" s="7" t="n">
        <v>45868</v>
      </c>
      <c r="D329" s="6" t="n">
        <v>263500</v>
      </c>
      <c r="E329" s="8">
        <f>MAX($D$261:D329)</f>
        <v/>
      </c>
      <c r="F329" s="8">
        <f>D329=MAX($D$261:$D$512)</f>
        <v/>
      </c>
    </row>
    <row r="330">
      <c r="A330" s="6" t="inlineStr">
        <is>
          <t>SK하이닉스</t>
        </is>
      </c>
      <c r="B330" s="6" t="inlineStr">
        <is>
          <t>A000660</t>
        </is>
      </c>
      <c r="C330" s="7" t="n">
        <v>45869</v>
      </c>
      <c r="D330" s="6" t="n">
        <v>273500</v>
      </c>
      <c r="E330" s="8">
        <f>MAX($D$261:D330)</f>
        <v/>
      </c>
      <c r="F330" s="8">
        <f>D330=MAX($D$261:$D$512)</f>
        <v/>
      </c>
    </row>
    <row r="331">
      <c r="A331" s="6" t="inlineStr">
        <is>
          <t>SK하이닉스</t>
        </is>
      </c>
      <c r="B331" s="6" t="inlineStr">
        <is>
          <t>A000660</t>
        </is>
      </c>
      <c r="C331" s="7" t="n">
        <v>45870</v>
      </c>
      <c r="D331" s="6" t="n">
        <v>258000</v>
      </c>
      <c r="E331" s="8">
        <f>MAX($D$261:D331)</f>
        <v/>
      </c>
      <c r="F331" s="8">
        <f>D331=MAX($D$261:$D$512)</f>
        <v/>
      </c>
    </row>
    <row r="332">
      <c r="A332" s="6" t="inlineStr">
        <is>
          <t>SK하이닉스</t>
        </is>
      </c>
      <c r="B332" s="6" t="inlineStr">
        <is>
          <t>A000660</t>
        </is>
      </c>
      <c r="C332" s="7" t="n">
        <v>45873</v>
      </c>
      <c r="D332" s="6" t="n">
        <v>258000</v>
      </c>
      <c r="E332" s="8">
        <f>MAX($D$261:D332)</f>
        <v/>
      </c>
      <c r="F332" s="8">
        <f>D332=MAX($D$261:$D$512)</f>
        <v/>
      </c>
    </row>
    <row r="333">
      <c r="A333" s="6" t="inlineStr">
        <is>
          <t>SK하이닉스</t>
        </is>
      </c>
      <c r="B333" s="6" t="inlineStr">
        <is>
          <t>A000660</t>
        </is>
      </c>
      <c r="C333" s="7" t="n">
        <v>45874</v>
      </c>
      <c r="D333" s="6" t="n">
        <v>263500</v>
      </c>
      <c r="E333" s="8">
        <f>MAX($D$261:D333)</f>
        <v/>
      </c>
      <c r="F333" s="8">
        <f>D333=MAX($D$261:$D$512)</f>
        <v/>
      </c>
    </row>
    <row r="334">
      <c r="A334" s="6" t="inlineStr">
        <is>
          <t>SK하이닉스</t>
        </is>
      </c>
      <c r="B334" s="6" t="inlineStr">
        <is>
          <t>A000660</t>
        </is>
      </c>
      <c r="C334" s="7" t="n">
        <v>45875</v>
      </c>
      <c r="D334" s="6" t="n">
        <v>258500</v>
      </c>
      <c r="E334" s="8">
        <f>MAX($D$261:D334)</f>
        <v/>
      </c>
      <c r="F334" s="8">
        <f>D334=MAX($D$261:$D$512)</f>
        <v/>
      </c>
    </row>
    <row r="335">
      <c r="A335" s="6" t="inlineStr">
        <is>
          <t>SK하이닉스</t>
        </is>
      </c>
      <c r="B335" s="6" t="inlineStr">
        <is>
          <t>A000660</t>
        </is>
      </c>
      <c r="C335" s="7" t="n">
        <v>45876</v>
      </c>
      <c r="D335" s="6" t="n">
        <v>262000</v>
      </c>
      <c r="E335" s="8">
        <f>MAX($D$261:D335)</f>
        <v/>
      </c>
      <c r="F335" s="8">
        <f>D335=MAX($D$261:$D$512)</f>
        <v/>
      </c>
    </row>
    <row r="336">
      <c r="A336" s="6" t="inlineStr">
        <is>
          <t>SK하이닉스</t>
        </is>
      </c>
      <c r="B336" s="6" t="inlineStr">
        <is>
          <t>A000660</t>
        </is>
      </c>
      <c r="C336" s="7" t="n">
        <v>45877</v>
      </c>
      <c r="D336" s="6" t="n">
        <v>256500</v>
      </c>
      <c r="E336" s="8">
        <f>MAX($D$261:D336)</f>
        <v/>
      </c>
      <c r="F336" s="8">
        <f>D336=MAX($D$261:$D$512)</f>
        <v/>
      </c>
    </row>
    <row r="337">
      <c r="A337" s="6" t="inlineStr">
        <is>
          <t>SK하이닉스</t>
        </is>
      </c>
      <c r="B337" s="6" t="inlineStr">
        <is>
          <t>A000660</t>
        </is>
      </c>
      <c r="C337" s="7" t="n">
        <v>45880</v>
      </c>
      <c r="D337" s="6" t="n">
        <v>267000</v>
      </c>
      <c r="E337" s="8">
        <f>MAX($D$261:D337)</f>
        <v/>
      </c>
      <c r="F337" s="8">
        <f>D337=MAX($D$261:$D$512)</f>
        <v/>
      </c>
    </row>
    <row r="338">
      <c r="A338" s="6" t="inlineStr">
        <is>
          <t>SK하이닉스</t>
        </is>
      </c>
      <c r="B338" s="6" t="inlineStr">
        <is>
          <t>A000660</t>
        </is>
      </c>
      <c r="C338" s="7" t="n">
        <v>45881</v>
      </c>
      <c r="D338" s="6" t="n">
        <v>269000</v>
      </c>
      <c r="E338" s="8">
        <f>MAX($D$261:D338)</f>
        <v/>
      </c>
      <c r="F338" s="8">
        <f>D338=MAX($D$261:$D$512)</f>
        <v/>
      </c>
    </row>
    <row r="339">
      <c r="A339" s="6" t="inlineStr">
        <is>
          <t>SK하이닉스</t>
        </is>
      </c>
      <c r="B339" s="6" t="inlineStr">
        <is>
          <t>A000660</t>
        </is>
      </c>
      <c r="C339" s="7" t="n">
        <v>45882</v>
      </c>
      <c r="D339" s="6" t="n">
        <v>278000</v>
      </c>
      <c r="E339" s="8">
        <f>MAX($D$261:D339)</f>
        <v/>
      </c>
      <c r="F339" s="8">
        <f>D339=MAX($D$261:$D$512)</f>
        <v/>
      </c>
    </row>
    <row r="340">
      <c r="A340" s="6" t="inlineStr">
        <is>
          <t>SK하이닉스</t>
        </is>
      </c>
      <c r="B340" s="6" t="inlineStr">
        <is>
          <t>A000660</t>
        </is>
      </c>
      <c r="C340" s="7" t="n">
        <v>45883</v>
      </c>
      <c r="D340" s="6" t="n">
        <v>276500</v>
      </c>
      <c r="E340" s="8">
        <f>MAX($D$261:D340)</f>
        <v/>
      </c>
      <c r="F340" s="8">
        <f>D340=MAX($D$261:$D$512)</f>
        <v/>
      </c>
    </row>
    <row r="341">
      <c r="A341" s="6" t="inlineStr">
        <is>
          <t>SK하이닉스</t>
        </is>
      </c>
      <c r="B341" s="6" t="inlineStr">
        <is>
          <t>A000660</t>
        </is>
      </c>
      <c r="C341" s="7" t="n">
        <v>45887</v>
      </c>
      <c r="D341" s="6" t="n">
        <v>267500</v>
      </c>
      <c r="E341" s="8">
        <f>MAX($D$261:D341)</f>
        <v/>
      </c>
      <c r="F341" s="8">
        <f>D341=MAX($D$261:$D$512)</f>
        <v/>
      </c>
    </row>
    <row r="342">
      <c r="A342" s="6" t="inlineStr">
        <is>
          <t>SK하이닉스</t>
        </is>
      </c>
      <c r="B342" s="6" t="inlineStr">
        <is>
          <t>A000660</t>
        </is>
      </c>
      <c r="C342" s="7" t="n">
        <v>45888</v>
      </c>
      <c r="D342" s="6" t="n">
        <v>263000</v>
      </c>
      <c r="E342" s="8">
        <f>MAX($D$261:D342)</f>
        <v/>
      </c>
      <c r="F342" s="8">
        <f>D342=MAX($D$261:$D$512)</f>
        <v/>
      </c>
    </row>
    <row r="343">
      <c r="A343" s="6" t="inlineStr">
        <is>
          <t>SK하이닉스</t>
        </is>
      </c>
      <c r="B343" s="6" t="inlineStr">
        <is>
          <t>A000660</t>
        </is>
      </c>
      <c r="C343" s="7" t="n">
        <v>45889</v>
      </c>
      <c r="D343" s="6" t="n">
        <v>255500</v>
      </c>
      <c r="E343" s="8">
        <f>MAX($D$261:D343)</f>
        <v/>
      </c>
      <c r="F343" s="8">
        <f>D343=MAX($D$261:$D$512)</f>
        <v/>
      </c>
    </row>
    <row r="344">
      <c r="A344" s="6" t="inlineStr">
        <is>
          <t>SK하이닉스</t>
        </is>
      </c>
      <c r="B344" s="6" t="inlineStr">
        <is>
          <t>A000660</t>
        </is>
      </c>
      <c r="C344" s="7" t="n">
        <v>45890</v>
      </c>
      <c r="D344" s="6" t="n">
        <v>245000</v>
      </c>
      <c r="E344" s="8">
        <f>MAX($D$261:D344)</f>
        <v/>
      </c>
      <c r="F344" s="8">
        <f>D344=MAX($D$261:$D$512)</f>
        <v/>
      </c>
    </row>
    <row r="345">
      <c r="A345" s="6" t="inlineStr">
        <is>
          <t>SK하이닉스</t>
        </is>
      </c>
      <c r="B345" s="6" t="inlineStr">
        <is>
          <t>A000660</t>
        </is>
      </c>
      <c r="C345" s="7" t="n">
        <v>45891</v>
      </c>
      <c r="D345" s="6" t="n">
        <v>251000</v>
      </c>
      <c r="E345" s="8">
        <f>MAX($D$261:D345)</f>
        <v/>
      </c>
      <c r="F345" s="8">
        <f>D345=MAX($D$261:$D$512)</f>
        <v/>
      </c>
    </row>
    <row r="346">
      <c r="A346" s="6" t="inlineStr">
        <is>
          <t>SK하이닉스</t>
        </is>
      </c>
      <c r="B346" s="6" t="inlineStr">
        <is>
          <t>A000660</t>
        </is>
      </c>
      <c r="C346" s="7" t="n">
        <v>45894</v>
      </c>
      <c r="D346" s="6" t="n">
        <v>259500</v>
      </c>
      <c r="E346" s="8">
        <f>MAX($D$261:D346)</f>
        <v/>
      </c>
      <c r="F346" s="8">
        <f>D346=MAX($D$261:$D$512)</f>
        <v/>
      </c>
    </row>
    <row r="347">
      <c r="A347" s="6" t="inlineStr">
        <is>
          <t>SK하이닉스</t>
        </is>
      </c>
      <c r="B347" s="6" t="inlineStr">
        <is>
          <t>A000660</t>
        </is>
      </c>
      <c r="C347" s="7" t="n">
        <v>45895</v>
      </c>
      <c r="D347" s="6" t="n">
        <v>261500</v>
      </c>
      <c r="E347" s="8">
        <f>MAX($D$261:D347)</f>
        <v/>
      </c>
      <c r="F347" s="8">
        <f>D347=MAX($D$261:$D$512)</f>
        <v/>
      </c>
    </row>
    <row r="348">
      <c r="A348" s="6" t="inlineStr">
        <is>
          <t>SK하이닉스</t>
        </is>
      </c>
      <c r="B348" s="6" t="inlineStr">
        <is>
          <t>A000660</t>
        </is>
      </c>
      <c r="C348" s="7" t="n">
        <v>45896</v>
      </c>
      <c r="D348" s="6" t="n">
        <v>260000</v>
      </c>
      <c r="E348" s="8">
        <f>MAX($D$261:D348)</f>
        <v/>
      </c>
      <c r="F348" s="8">
        <f>D348=MAX($D$261:$D$512)</f>
        <v/>
      </c>
    </row>
    <row r="349">
      <c r="A349" s="6" t="inlineStr">
        <is>
          <t>SK하이닉스</t>
        </is>
      </c>
      <c r="B349" s="6" t="inlineStr">
        <is>
          <t>A000660</t>
        </is>
      </c>
      <c r="C349" s="7" t="n">
        <v>45897</v>
      </c>
      <c r="D349" s="6" t="n">
        <v>268500</v>
      </c>
      <c r="E349" s="8">
        <f>MAX($D$261:D349)</f>
        <v/>
      </c>
      <c r="F349" s="8">
        <f>D349=MAX($D$261:$D$512)</f>
        <v/>
      </c>
    </row>
    <row r="350">
      <c r="A350" s="6" t="inlineStr">
        <is>
          <t>SK하이닉스</t>
        </is>
      </c>
      <c r="B350" s="6" t="inlineStr">
        <is>
          <t>A000660</t>
        </is>
      </c>
      <c r="C350" s="7" t="n">
        <v>45898</v>
      </c>
      <c r="D350" s="6" t="n">
        <v>269000</v>
      </c>
      <c r="E350" s="8">
        <f>MAX($D$261:D350)</f>
        <v/>
      </c>
      <c r="F350" s="8">
        <f>D350=MAX($D$261:$D$512)</f>
        <v/>
      </c>
    </row>
    <row r="351">
      <c r="A351" s="6" t="inlineStr">
        <is>
          <t>SK하이닉스</t>
        </is>
      </c>
      <c r="B351" s="6" t="inlineStr">
        <is>
          <t>A000660</t>
        </is>
      </c>
      <c r="C351" s="7" t="n">
        <v>45901</v>
      </c>
      <c r="D351" s="6" t="n">
        <v>256000</v>
      </c>
      <c r="E351" s="8">
        <f>MAX($D$261:D351)</f>
        <v/>
      </c>
      <c r="F351" s="8">
        <f>D351=MAX($D$261:$D$512)</f>
        <v/>
      </c>
    </row>
    <row r="352">
      <c r="A352" s="6" t="inlineStr">
        <is>
          <t>SK하이닉스</t>
        </is>
      </c>
      <c r="B352" s="6" t="inlineStr">
        <is>
          <t>A000660</t>
        </is>
      </c>
      <c r="C352" s="7" t="n">
        <v>45902</v>
      </c>
      <c r="D352" s="6" t="n">
        <v>260500</v>
      </c>
      <c r="E352" s="8">
        <f>MAX($D$261:D352)</f>
        <v/>
      </c>
      <c r="F352" s="8">
        <f>D352=MAX($D$261:$D$512)</f>
        <v/>
      </c>
    </row>
    <row r="353">
      <c r="A353" s="6" t="inlineStr">
        <is>
          <t>SK하이닉스</t>
        </is>
      </c>
      <c r="B353" s="6" t="inlineStr">
        <is>
          <t>A000660</t>
        </is>
      </c>
      <c r="C353" s="7" t="n">
        <v>45903</v>
      </c>
      <c r="D353" s="6" t="n">
        <v>262500</v>
      </c>
      <c r="E353" s="8">
        <f>MAX($D$261:D353)</f>
        <v/>
      </c>
      <c r="F353" s="8">
        <f>D353=MAX($D$261:$D$512)</f>
        <v/>
      </c>
    </row>
    <row r="354">
      <c r="A354" s="6" t="inlineStr">
        <is>
          <t>SK하이닉스</t>
        </is>
      </c>
      <c r="B354" s="6" t="inlineStr">
        <is>
          <t>A000660</t>
        </is>
      </c>
      <c r="C354" s="7" t="n">
        <v>45904</v>
      </c>
      <c r="D354" s="6" t="n">
        <v>265500</v>
      </c>
      <c r="E354" s="8">
        <f>MAX($D$261:D354)</f>
        <v/>
      </c>
      <c r="F354" s="8">
        <f>D354=MAX($D$261:$D$512)</f>
        <v/>
      </c>
    </row>
    <row r="355">
      <c r="A355" s="6" t="inlineStr">
        <is>
          <t>SK하이닉스</t>
        </is>
      </c>
      <c r="B355" s="6" t="inlineStr">
        <is>
          <t>A000660</t>
        </is>
      </c>
      <c r="C355" s="7" t="n">
        <v>45905</v>
      </c>
      <c r="D355" s="6" t="n">
        <v>273500</v>
      </c>
      <c r="E355" s="8">
        <f>MAX($D$261:D355)</f>
        <v/>
      </c>
      <c r="F355" s="8">
        <f>D355=MAX($D$261:$D$512)</f>
        <v/>
      </c>
    </row>
    <row r="356">
      <c r="A356" s="6" t="inlineStr">
        <is>
          <t>SK하이닉스</t>
        </is>
      </c>
      <c r="B356" s="6" t="inlineStr">
        <is>
          <t>A000660</t>
        </is>
      </c>
      <c r="C356" s="7" t="n">
        <v>45908</v>
      </c>
      <c r="D356" s="6" t="n">
        <v>277000</v>
      </c>
      <c r="E356" s="8">
        <f>MAX($D$261:D356)</f>
        <v/>
      </c>
      <c r="F356" s="8">
        <f>D356=MAX($D$261:$D$512)</f>
        <v/>
      </c>
    </row>
    <row r="357">
      <c r="A357" s="6" t="inlineStr">
        <is>
          <t>SK하이닉스</t>
        </is>
      </c>
      <c r="B357" s="6" t="inlineStr">
        <is>
          <t>A000660</t>
        </is>
      </c>
      <c r="C357" s="7" t="n">
        <v>45909</v>
      </c>
      <c r="D357" s="6" t="n">
        <v>288000</v>
      </c>
      <c r="E357" s="8">
        <f>MAX($D$261:D357)</f>
        <v/>
      </c>
      <c r="F357" s="8">
        <f>D357=MAX($D$261:$D$512)</f>
        <v/>
      </c>
    </row>
    <row r="358">
      <c r="A358" s="6" t="inlineStr">
        <is>
          <t>SK하이닉스</t>
        </is>
      </c>
      <c r="B358" s="6" t="inlineStr">
        <is>
          <t>A000660</t>
        </is>
      </c>
      <c r="C358" s="7" t="n">
        <v>45910</v>
      </c>
      <c r="D358" s="6" t="n">
        <v>304000</v>
      </c>
      <c r="E358" s="8">
        <f>MAX($D$261:D358)</f>
        <v/>
      </c>
      <c r="F358" s="8">
        <f>D358=MAX($D$261:$D$512)</f>
        <v/>
      </c>
    </row>
    <row r="359">
      <c r="A359" s="6" t="inlineStr">
        <is>
          <t>SK하이닉스</t>
        </is>
      </c>
      <c r="B359" s="6" t="inlineStr">
        <is>
          <t>A000660</t>
        </is>
      </c>
      <c r="C359" s="7" t="n">
        <v>45911</v>
      </c>
      <c r="D359" s="6" t="n">
        <v>307000</v>
      </c>
      <c r="E359" s="8">
        <f>MAX($D$261:D359)</f>
        <v/>
      </c>
      <c r="F359" s="8">
        <f>D359=MAX($D$261:$D$512)</f>
        <v/>
      </c>
    </row>
    <row r="360">
      <c r="A360" s="6" t="inlineStr">
        <is>
          <t>SK하이닉스</t>
        </is>
      </c>
      <c r="B360" s="6" t="inlineStr">
        <is>
          <t>A000660</t>
        </is>
      </c>
      <c r="C360" s="7" t="n">
        <v>45912</v>
      </c>
      <c r="D360" s="6" t="n">
        <v>328500</v>
      </c>
      <c r="E360" s="8">
        <f>MAX($D$261:D360)</f>
        <v/>
      </c>
      <c r="F360" s="8">
        <f>D360=MAX($D$261:$D$512)</f>
        <v/>
      </c>
    </row>
    <row r="361">
      <c r="A361" s="6" t="inlineStr">
        <is>
          <t>SK하이닉스</t>
        </is>
      </c>
      <c r="B361" s="6" t="inlineStr">
        <is>
          <t>A000660</t>
        </is>
      </c>
      <c r="C361" s="7" t="n">
        <v>45915</v>
      </c>
      <c r="D361" s="6" t="n">
        <v>331000</v>
      </c>
      <c r="E361" s="8">
        <f>MAX($D$261:D361)</f>
        <v/>
      </c>
      <c r="F361" s="8">
        <f>D361=MAX($D$261:$D$512)</f>
        <v/>
      </c>
    </row>
    <row r="362">
      <c r="A362" s="6" t="inlineStr">
        <is>
          <t>SK하이닉스</t>
        </is>
      </c>
      <c r="B362" s="6" t="inlineStr">
        <is>
          <t>A000660</t>
        </is>
      </c>
      <c r="C362" s="7" t="n">
        <v>45916</v>
      </c>
      <c r="D362" s="6" t="n">
        <v>348000</v>
      </c>
      <c r="E362" s="8">
        <f>MAX($D$261:D362)</f>
        <v/>
      </c>
      <c r="F362" s="8">
        <f>D362=MAX($D$261:$D$512)</f>
        <v/>
      </c>
    </row>
    <row r="363">
      <c r="A363" s="6" t="inlineStr">
        <is>
          <t>SK하이닉스</t>
        </is>
      </c>
      <c r="B363" s="6" t="inlineStr">
        <is>
          <t>A000660</t>
        </is>
      </c>
      <c r="C363" s="7" t="n">
        <v>45917</v>
      </c>
      <c r="D363" s="6" t="n">
        <v>333500</v>
      </c>
      <c r="E363" s="8">
        <f>MAX($D$261:D363)</f>
        <v/>
      </c>
      <c r="F363" s="8">
        <f>D363=MAX($D$261:$D$512)</f>
        <v/>
      </c>
    </row>
    <row r="364">
      <c r="A364" s="6" t="inlineStr">
        <is>
          <t>SK하이닉스</t>
        </is>
      </c>
      <c r="B364" s="6" t="inlineStr">
        <is>
          <t>A000660</t>
        </is>
      </c>
      <c r="C364" s="7" t="n">
        <v>45918</v>
      </c>
      <c r="D364" s="6" t="n">
        <v>353000</v>
      </c>
      <c r="E364" s="8">
        <f>MAX($D$261:D364)</f>
        <v/>
      </c>
      <c r="F364" s="8">
        <f>D364=MAX($D$261:$D$512)</f>
        <v/>
      </c>
    </row>
    <row r="365">
      <c r="A365" s="6" t="inlineStr">
        <is>
          <t>SK하이닉스</t>
        </is>
      </c>
      <c r="B365" s="6" t="inlineStr">
        <is>
          <t>A000660</t>
        </is>
      </c>
      <c r="C365" s="7" t="n">
        <v>45919</v>
      </c>
      <c r="D365" s="6" t="n">
        <v>353000</v>
      </c>
      <c r="E365" s="8">
        <f>MAX($D$261:D365)</f>
        <v/>
      </c>
      <c r="F365" s="8">
        <f>D365=MAX($D$261:$D$512)</f>
        <v/>
      </c>
    </row>
    <row r="366">
      <c r="A366" s="6" t="inlineStr">
        <is>
          <t>SK하이닉스</t>
        </is>
      </c>
      <c r="B366" s="6" t="inlineStr">
        <is>
          <t>A000660</t>
        </is>
      </c>
      <c r="C366" s="7" t="n">
        <v>45922</v>
      </c>
      <c r="D366" s="6" t="n">
        <v>351000</v>
      </c>
      <c r="E366" s="8">
        <f>MAX($D$261:D366)</f>
        <v/>
      </c>
      <c r="F366" s="8">
        <f>D366=MAX($D$261:$D$512)</f>
        <v/>
      </c>
    </row>
    <row r="367">
      <c r="A367" s="6" t="inlineStr">
        <is>
          <t>SK하이닉스</t>
        </is>
      </c>
      <c r="B367" s="6" t="inlineStr">
        <is>
          <t>A000660</t>
        </is>
      </c>
      <c r="C367" s="7" t="n">
        <v>45923</v>
      </c>
      <c r="D367" s="6" t="n">
        <v>361000</v>
      </c>
      <c r="E367" s="8">
        <f>MAX($D$261:D367)</f>
        <v/>
      </c>
      <c r="F367" s="8">
        <f>D367=MAX($D$261:$D$512)</f>
        <v/>
      </c>
    </row>
    <row r="368">
      <c r="A368" s="6" t="inlineStr">
        <is>
          <t>SK하이닉스</t>
        </is>
      </c>
      <c r="B368" s="6" t="inlineStr">
        <is>
          <t>A000660</t>
        </is>
      </c>
      <c r="C368" s="7" t="n">
        <v>45924</v>
      </c>
      <c r="D368" s="6" t="n">
        <v>357500</v>
      </c>
      <c r="E368" s="8">
        <f>MAX($D$261:D368)</f>
        <v/>
      </c>
      <c r="F368" s="8">
        <f>D368=MAX($D$261:$D$512)</f>
        <v/>
      </c>
    </row>
    <row r="369">
      <c r="A369" s="6" t="inlineStr">
        <is>
          <t>SK하이닉스</t>
        </is>
      </c>
      <c r="B369" s="6" t="inlineStr">
        <is>
          <t>A000660</t>
        </is>
      </c>
      <c r="C369" s="7" t="n">
        <v>45925</v>
      </c>
      <c r="D369" s="6" t="n">
        <v>356500</v>
      </c>
      <c r="E369" s="8">
        <f>MAX($D$261:D369)</f>
        <v/>
      </c>
      <c r="F369" s="8">
        <f>D369=MAX($D$261:$D$512)</f>
        <v/>
      </c>
    </row>
    <row r="370">
      <c r="A370" s="6" t="inlineStr">
        <is>
          <t>SK하이닉스</t>
        </is>
      </c>
      <c r="B370" s="6" t="inlineStr">
        <is>
          <t>A000660</t>
        </is>
      </c>
      <c r="C370" s="7" t="n">
        <v>45926</v>
      </c>
      <c r="D370" s="6" t="n">
        <v>336500</v>
      </c>
      <c r="E370" s="8">
        <f>MAX($D$261:D370)</f>
        <v/>
      </c>
      <c r="F370" s="8">
        <f>D370=MAX($D$261:$D$512)</f>
        <v/>
      </c>
    </row>
    <row r="371">
      <c r="A371" s="6" t="inlineStr">
        <is>
          <t>SK하이닉스</t>
        </is>
      </c>
      <c r="B371" s="6" t="inlineStr">
        <is>
          <t>A000660</t>
        </is>
      </c>
      <c r="C371" s="7" t="n">
        <v>45929</v>
      </c>
      <c r="D371" s="6" t="n">
        <v>349000</v>
      </c>
      <c r="E371" s="8">
        <f>MAX($D$261:D371)</f>
        <v/>
      </c>
      <c r="F371" s="8">
        <f>D371=MAX($D$261:$D$512)</f>
        <v/>
      </c>
    </row>
    <row r="372">
      <c r="A372" s="6" t="inlineStr">
        <is>
          <t>SK하이닉스</t>
        </is>
      </c>
      <c r="B372" s="6" t="inlineStr">
        <is>
          <t>A000660</t>
        </is>
      </c>
      <c r="C372" s="7" t="n">
        <v>45930</v>
      </c>
      <c r="D372" s="6" t="n">
        <v>347500</v>
      </c>
      <c r="E372" s="8">
        <f>MAX($D$261:D372)</f>
        <v/>
      </c>
      <c r="F372" s="8">
        <f>D372=MAX($D$261:$D$512)</f>
        <v/>
      </c>
    </row>
    <row r="373">
      <c r="A373" s="6" t="inlineStr">
        <is>
          <t>SK하이닉스</t>
        </is>
      </c>
      <c r="B373" s="6" t="inlineStr">
        <is>
          <t>A000660</t>
        </is>
      </c>
      <c r="C373" s="7" t="n">
        <v>45931</v>
      </c>
      <c r="D373" s="6" t="n">
        <v>360000</v>
      </c>
      <c r="E373" s="8">
        <f>MAX($D$261:D373)</f>
        <v/>
      </c>
      <c r="F373" s="8">
        <f>D373=MAX($D$261:$D$512)</f>
        <v/>
      </c>
    </row>
    <row r="374">
      <c r="A374" s="6" t="inlineStr">
        <is>
          <t>SK하이닉스</t>
        </is>
      </c>
      <c r="B374" s="6" t="inlineStr">
        <is>
          <t>A000660</t>
        </is>
      </c>
      <c r="C374" s="7" t="n">
        <v>45932</v>
      </c>
      <c r="D374" s="6" t="n">
        <v>395500</v>
      </c>
      <c r="E374" s="8">
        <f>MAX($D$261:D374)</f>
        <v/>
      </c>
      <c r="F374" s="8">
        <f>D374=MAX($D$261:$D$512)</f>
        <v/>
      </c>
    </row>
    <row r="375">
      <c r="A375" s="6" t="inlineStr">
        <is>
          <t>SK하이닉스</t>
        </is>
      </c>
      <c r="B375" s="6" t="inlineStr">
        <is>
          <t>A000660</t>
        </is>
      </c>
      <c r="C375" s="7" t="n">
        <v>45940</v>
      </c>
      <c r="D375" s="6" t="n">
        <v>428000</v>
      </c>
      <c r="E375" s="8">
        <f>MAX($D$261:D375)</f>
        <v/>
      </c>
      <c r="F375" s="8">
        <f>D375=MAX($D$261:$D$512)</f>
        <v/>
      </c>
    </row>
    <row r="376">
      <c r="A376" s="6" t="inlineStr">
        <is>
          <t>SK하이닉스</t>
        </is>
      </c>
      <c r="B376" s="6" t="inlineStr">
        <is>
          <t>A000660</t>
        </is>
      </c>
      <c r="C376" s="7" t="n">
        <v>45943</v>
      </c>
      <c r="D376" s="6" t="n">
        <v>415000</v>
      </c>
      <c r="E376" s="8">
        <f>MAX($D$261:D376)</f>
        <v/>
      </c>
      <c r="F376" s="8">
        <f>D376=MAX($D$261:$D$512)</f>
        <v/>
      </c>
    </row>
    <row r="377">
      <c r="A377" s="6" t="inlineStr">
        <is>
          <t>SK하이닉스</t>
        </is>
      </c>
      <c r="B377" s="6" t="inlineStr">
        <is>
          <t>A000660</t>
        </is>
      </c>
      <c r="C377" s="7" t="n">
        <v>45944</v>
      </c>
      <c r="D377" s="6" t="n">
        <v>411500</v>
      </c>
      <c r="E377" s="8">
        <f>MAX($D$261:D377)</f>
        <v/>
      </c>
      <c r="F377" s="8">
        <f>D377=MAX($D$261:$D$512)</f>
        <v/>
      </c>
    </row>
    <row r="378">
      <c r="A378" s="6" t="inlineStr">
        <is>
          <t>SK하이닉스</t>
        </is>
      </c>
      <c r="B378" s="6" t="inlineStr">
        <is>
          <t>A000660</t>
        </is>
      </c>
      <c r="C378" s="7" t="n">
        <v>45945</v>
      </c>
      <c r="D378" s="6" t="n">
        <v>422500</v>
      </c>
      <c r="E378" s="8">
        <f>MAX($D$261:D378)</f>
        <v/>
      </c>
      <c r="F378" s="8">
        <f>D378=MAX($D$261:$D$512)</f>
        <v/>
      </c>
    </row>
    <row r="379">
      <c r="A379" s="6" t="inlineStr">
        <is>
          <t>SK하이닉스</t>
        </is>
      </c>
      <c r="B379" s="6" t="inlineStr">
        <is>
          <t>A000660</t>
        </is>
      </c>
      <c r="C379" s="7" t="n">
        <v>45946</v>
      </c>
      <c r="D379" s="6" t="n">
        <v>452500</v>
      </c>
      <c r="E379" s="8">
        <f>MAX($D$261:D379)</f>
        <v/>
      </c>
      <c r="F379" s="8">
        <f>D379=MAX($D$261:$D$512)</f>
        <v/>
      </c>
    </row>
    <row r="380">
      <c r="A380" s="6" t="inlineStr">
        <is>
          <t>SK하이닉스</t>
        </is>
      </c>
      <c r="B380" s="6" t="inlineStr">
        <is>
          <t>A000660</t>
        </is>
      </c>
      <c r="C380" s="7" t="n">
        <v>45947</v>
      </c>
      <c r="D380" s="6" t="n">
        <v>465500</v>
      </c>
      <c r="E380" s="8">
        <f>MAX($D$261:D380)</f>
        <v/>
      </c>
      <c r="F380" s="8">
        <f>D380=MAX($D$261:$D$512)</f>
        <v/>
      </c>
    </row>
    <row r="381">
      <c r="A381" s="6" t="inlineStr">
        <is>
          <t>SK하이닉스</t>
        </is>
      </c>
      <c r="B381" s="6" t="inlineStr">
        <is>
          <t>A000660</t>
        </is>
      </c>
      <c r="C381" s="7" t="n">
        <v>45950</v>
      </c>
      <c r="D381" s="6" t="n">
        <v>485500</v>
      </c>
      <c r="E381" s="8">
        <f>MAX($D$261:D381)</f>
        <v/>
      </c>
      <c r="F381" s="8">
        <f>D381=MAX($D$261:$D$512)</f>
        <v/>
      </c>
    </row>
    <row r="382">
      <c r="A382" s="6" t="inlineStr">
        <is>
          <t>SK하이닉스</t>
        </is>
      </c>
      <c r="B382" s="6" t="inlineStr">
        <is>
          <t>A000660</t>
        </is>
      </c>
      <c r="C382" s="7" t="n">
        <v>45951</v>
      </c>
      <c r="D382" s="6" t="n">
        <v>479000</v>
      </c>
      <c r="E382" s="8">
        <f>MAX($D$261:D382)</f>
        <v/>
      </c>
      <c r="F382" s="8">
        <f>D382=MAX($D$261:$D$512)</f>
        <v/>
      </c>
    </row>
    <row r="383">
      <c r="A383" s="6" t="inlineStr">
        <is>
          <t>SK하이닉스</t>
        </is>
      </c>
      <c r="B383" s="6" t="inlineStr">
        <is>
          <t>A000660</t>
        </is>
      </c>
      <c r="C383" s="7" t="n">
        <v>45952</v>
      </c>
      <c r="D383" s="6" t="n">
        <v>481500</v>
      </c>
      <c r="E383" s="8">
        <f>MAX($D$261:D383)</f>
        <v/>
      </c>
      <c r="F383" s="8">
        <f>D383=MAX($D$261:$D$512)</f>
        <v/>
      </c>
    </row>
    <row r="384">
      <c r="A384" s="6" t="inlineStr">
        <is>
          <t>SK하이닉스</t>
        </is>
      </c>
      <c r="B384" s="6" t="inlineStr">
        <is>
          <t>A000660</t>
        </is>
      </c>
      <c r="C384" s="7" t="n">
        <v>45953</v>
      </c>
      <c r="D384" s="6" t="n">
        <v>478500</v>
      </c>
      <c r="E384" s="8">
        <f>MAX($D$261:D384)</f>
        <v/>
      </c>
      <c r="F384" s="8">
        <f>D384=MAX($D$261:$D$512)</f>
        <v/>
      </c>
    </row>
    <row r="385">
      <c r="A385" s="6" t="inlineStr">
        <is>
          <t>SK하이닉스</t>
        </is>
      </c>
      <c r="B385" s="6" t="inlineStr">
        <is>
          <t>A000660</t>
        </is>
      </c>
      <c r="C385" s="7" t="n">
        <v>45954</v>
      </c>
      <c r="D385" s="6" t="n">
        <v>510000</v>
      </c>
      <c r="E385" s="8">
        <f>MAX($D$261:D385)</f>
        <v/>
      </c>
      <c r="F385" s="8">
        <f>D385=MAX($D$261:$D$512)</f>
        <v/>
      </c>
    </row>
    <row r="386">
      <c r="A386" s="6" t="inlineStr">
        <is>
          <t>SK하이닉스</t>
        </is>
      </c>
      <c r="B386" s="6" t="inlineStr">
        <is>
          <t>A000660</t>
        </is>
      </c>
      <c r="C386" s="7" t="n">
        <v>45957</v>
      </c>
      <c r="D386" s="6" t="n">
        <v>535000</v>
      </c>
      <c r="E386" s="8">
        <f>MAX($D$261:D386)</f>
        <v/>
      </c>
      <c r="F386" s="8">
        <f>D386=MAX($D$261:$D$512)</f>
        <v/>
      </c>
    </row>
    <row r="387">
      <c r="A387" s="6" t="inlineStr">
        <is>
          <t>SK하이닉스</t>
        </is>
      </c>
      <c r="B387" s="6" t="inlineStr">
        <is>
          <t>A000660</t>
        </is>
      </c>
      <c r="C387" s="7" t="n">
        <v>45958</v>
      </c>
      <c r="D387" s="6" t="n">
        <v>521000</v>
      </c>
      <c r="E387" s="8">
        <f>MAX($D$261:D387)</f>
        <v/>
      </c>
      <c r="F387" s="8">
        <f>D387=MAX($D$261:$D$512)</f>
        <v/>
      </c>
    </row>
    <row r="388">
      <c r="A388" s="6" t="inlineStr">
        <is>
          <t>SK하이닉스</t>
        </is>
      </c>
      <c r="B388" s="6" t="inlineStr">
        <is>
          <t>A000660</t>
        </is>
      </c>
      <c r="C388" s="7" t="n">
        <v>45959</v>
      </c>
      <c r="D388" s="6" t="n">
        <v>558000</v>
      </c>
      <c r="E388" s="8">
        <f>MAX($D$261:D388)</f>
        <v/>
      </c>
      <c r="F388" s="8">
        <f>D388=MAX($D$261:$D$512)</f>
        <v/>
      </c>
    </row>
    <row r="389">
      <c r="A389" s="6" t="inlineStr">
        <is>
          <t>SK하이닉스</t>
        </is>
      </c>
      <c r="B389" s="6" t="inlineStr">
        <is>
          <t>A000660</t>
        </is>
      </c>
      <c r="C389" s="7" t="n">
        <v>45960</v>
      </c>
      <c r="D389" s="6" t="n">
        <v>568000</v>
      </c>
      <c r="E389" s="8">
        <f>MAX($D$261:D389)</f>
        <v/>
      </c>
      <c r="F389" s="8">
        <f>D389=MAX($D$261:$D$512)</f>
        <v/>
      </c>
    </row>
    <row r="390">
      <c r="A390" s="6" t="inlineStr">
        <is>
          <t>SK하이닉스</t>
        </is>
      </c>
      <c r="B390" s="6" t="inlineStr">
        <is>
          <t>A000660</t>
        </is>
      </c>
      <c r="C390" s="7" t="n">
        <v>45961</v>
      </c>
      <c r="D390" s="6" t="n">
        <v>559000</v>
      </c>
      <c r="E390" s="8">
        <f>MAX($D$261:D390)</f>
        <v/>
      </c>
      <c r="F390" s="8">
        <f>D390=MAX($D$261:$D$512)</f>
        <v/>
      </c>
    </row>
    <row r="391">
      <c r="A391" s="6" t="inlineStr">
        <is>
          <t>SK하이닉스</t>
        </is>
      </c>
      <c r="B391" s="6" t="inlineStr">
        <is>
          <t>A000660</t>
        </is>
      </c>
      <c r="C391" s="7" t="n">
        <v>45964</v>
      </c>
      <c r="D391" s="6" t="n">
        <v>620000</v>
      </c>
      <c r="E391" s="8">
        <f>MAX($D$261:D391)</f>
        <v/>
      </c>
      <c r="F391" s="8">
        <f>D391=MAX($D$261:$D$512)</f>
        <v/>
      </c>
    </row>
    <row r="392">
      <c r="A392" s="6" t="inlineStr">
        <is>
          <t>SK하이닉스</t>
        </is>
      </c>
      <c r="B392" s="6" t="inlineStr">
        <is>
          <t>A000660</t>
        </is>
      </c>
      <c r="C392" s="7" t="n">
        <v>45965</v>
      </c>
      <c r="D392" s="6" t="n">
        <v>586000</v>
      </c>
      <c r="E392" s="8">
        <f>MAX($D$261:D392)</f>
        <v/>
      </c>
      <c r="F392" s="8">
        <f>D392=MAX($D$261:$D$512)</f>
        <v/>
      </c>
    </row>
    <row r="393">
      <c r="A393" s="6" t="inlineStr">
        <is>
          <t>SK하이닉스</t>
        </is>
      </c>
      <c r="B393" s="6" t="inlineStr">
        <is>
          <t>A000660</t>
        </is>
      </c>
      <c r="C393" s="7" t="n">
        <v>45966</v>
      </c>
      <c r="D393" s="6" t="n">
        <v>579000</v>
      </c>
      <c r="E393" s="8">
        <f>MAX($D$261:D393)</f>
        <v/>
      </c>
      <c r="F393" s="8">
        <f>D393=MAX($D$261:$D$512)</f>
        <v/>
      </c>
    </row>
    <row r="394">
      <c r="A394" s="6" t="inlineStr">
        <is>
          <t>SK하이닉스</t>
        </is>
      </c>
      <c r="B394" s="6" t="inlineStr">
        <is>
          <t>A000660</t>
        </is>
      </c>
      <c r="C394" s="7" t="n">
        <v>45967</v>
      </c>
      <c r="D394" s="6" t="n">
        <v>593000</v>
      </c>
      <c r="E394" s="8">
        <f>MAX($D$261:D394)</f>
        <v/>
      </c>
      <c r="F394" s="8">
        <f>D394=MAX($D$261:$D$512)</f>
        <v/>
      </c>
    </row>
    <row r="395">
      <c r="A395" s="6" t="inlineStr">
        <is>
          <t>SK하이닉스</t>
        </is>
      </c>
      <c r="B395" s="6" t="inlineStr">
        <is>
          <t>A000660</t>
        </is>
      </c>
      <c r="C395" s="7" t="n">
        <v>45968</v>
      </c>
      <c r="D395" s="6" t="n">
        <v>580000</v>
      </c>
      <c r="E395" s="8">
        <f>MAX($D$261:D395)</f>
        <v/>
      </c>
      <c r="F395" s="8">
        <f>D395=MAX($D$261:$D$512)</f>
        <v/>
      </c>
    </row>
    <row r="396">
      <c r="A396" s="6" t="inlineStr">
        <is>
          <t>SK하이닉스</t>
        </is>
      </c>
      <c r="B396" s="6" t="inlineStr">
        <is>
          <t>A000660</t>
        </is>
      </c>
      <c r="C396" s="7" t="n">
        <v>45971</v>
      </c>
      <c r="D396" s="6" t="n">
        <v>606000</v>
      </c>
      <c r="E396" s="8">
        <f>MAX($D$261:D396)</f>
        <v/>
      </c>
      <c r="F396" s="8">
        <f>D396=MAX($D$261:$D$512)</f>
        <v/>
      </c>
    </row>
    <row r="397">
      <c r="A397" s="6" t="inlineStr">
        <is>
          <t>SK하이닉스</t>
        </is>
      </c>
      <c r="B397" s="6" t="inlineStr">
        <is>
          <t>A000660</t>
        </is>
      </c>
      <c r="C397" s="7" t="n">
        <v>45972</v>
      </c>
      <c r="D397" s="6" t="n">
        <v>619000</v>
      </c>
      <c r="E397" s="8">
        <f>MAX($D$261:D397)</f>
        <v/>
      </c>
      <c r="F397" s="8">
        <f>D397=MAX($D$261:$D$512)</f>
        <v/>
      </c>
    </row>
    <row r="398">
      <c r="A398" s="6" t="inlineStr">
        <is>
          <t>SK하이닉스</t>
        </is>
      </c>
      <c r="B398" s="6" t="inlineStr">
        <is>
          <t>A000660</t>
        </is>
      </c>
      <c r="C398" s="7" t="n">
        <v>45973</v>
      </c>
      <c r="D398" s="6" t="n">
        <v>617000</v>
      </c>
      <c r="E398" s="8">
        <f>MAX($D$261:D398)</f>
        <v/>
      </c>
      <c r="F398" s="8">
        <f>D398=MAX($D$261:$D$512)</f>
        <v/>
      </c>
    </row>
    <row r="399">
      <c r="A399" s="6" t="inlineStr">
        <is>
          <t>SK하이닉스</t>
        </is>
      </c>
      <c r="B399" s="6" t="inlineStr">
        <is>
          <t>A000660</t>
        </is>
      </c>
      <c r="C399" s="7" t="n">
        <v>45974</v>
      </c>
      <c r="D399" s="6" t="n">
        <v>612000</v>
      </c>
      <c r="E399" s="8">
        <f>MAX($D$261:D399)</f>
        <v/>
      </c>
      <c r="F399" s="8">
        <f>D399=MAX($D$261:$D$512)</f>
        <v/>
      </c>
    </row>
    <row r="400">
      <c r="A400" s="6" t="inlineStr">
        <is>
          <t>SK하이닉스</t>
        </is>
      </c>
      <c r="B400" s="6" t="inlineStr">
        <is>
          <t>A000660</t>
        </is>
      </c>
      <c r="C400" s="7" t="n">
        <v>45975</v>
      </c>
      <c r="D400" s="6" t="n">
        <v>560000</v>
      </c>
      <c r="E400" s="8">
        <f>MAX($D$261:D400)</f>
        <v/>
      </c>
      <c r="F400" s="8">
        <f>D400=MAX($D$261:$D$512)</f>
        <v/>
      </c>
    </row>
    <row r="401">
      <c r="A401" s="6" t="inlineStr">
        <is>
          <t>SK하이닉스</t>
        </is>
      </c>
      <c r="B401" s="6" t="inlineStr">
        <is>
          <t>A000660</t>
        </is>
      </c>
      <c r="C401" s="7" t="n">
        <v>45978</v>
      </c>
      <c r="D401" s="6" t="n">
        <v>606000</v>
      </c>
      <c r="E401" s="8">
        <f>MAX($D$261:D401)</f>
        <v/>
      </c>
      <c r="F401" s="8">
        <f>D401=MAX($D$261:$D$512)</f>
        <v/>
      </c>
    </row>
    <row r="402">
      <c r="A402" s="6" t="inlineStr">
        <is>
          <t>SK하이닉스</t>
        </is>
      </c>
      <c r="B402" s="6" t="inlineStr">
        <is>
          <t>A000660</t>
        </is>
      </c>
      <c r="C402" s="7" t="n">
        <v>45979</v>
      </c>
      <c r="D402" s="6" t="n">
        <v>570000</v>
      </c>
      <c r="E402" s="8">
        <f>MAX($D$261:D402)</f>
        <v/>
      </c>
      <c r="F402" s="8">
        <f>D402=MAX($D$261:$D$512)</f>
        <v/>
      </c>
    </row>
    <row r="403">
      <c r="A403" s="6" t="inlineStr">
        <is>
          <t>SK하이닉스</t>
        </is>
      </c>
      <c r="B403" s="6" t="inlineStr">
        <is>
          <t>A000660</t>
        </is>
      </c>
      <c r="C403" s="7" t="n">
        <v>45980</v>
      </c>
      <c r="D403" s="6" t="n">
        <v>562000</v>
      </c>
      <c r="E403" s="8">
        <f>MAX($D$261:D403)</f>
        <v/>
      </c>
      <c r="F403" s="8">
        <f>D403=MAX($D$261:$D$512)</f>
        <v/>
      </c>
    </row>
    <row r="404">
      <c r="A404" s="6" t="inlineStr">
        <is>
          <t>SK하이닉스</t>
        </is>
      </c>
      <c r="B404" s="6" t="inlineStr">
        <is>
          <t>A000660</t>
        </is>
      </c>
      <c r="C404" s="7" t="n">
        <v>45981</v>
      </c>
      <c r="D404" s="6" t="n">
        <v>571000</v>
      </c>
      <c r="E404" s="8">
        <f>MAX($D$261:D404)</f>
        <v/>
      </c>
      <c r="F404" s="8">
        <f>D404=MAX($D$261:$D$512)</f>
        <v/>
      </c>
    </row>
    <row r="405">
      <c r="A405" s="6" t="inlineStr">
        <is>
          <t>SK하이닉스</t>
        </is>
      </c>
      <c r="B405" s="6" t="inlineStr">
        <is>
          <t>A000660</t>
        </is>
      </c>
      <c r="C405" s="7" t="n">
        <v>45982</v>
      </c>
      <c r="D405" s="6" t="n">
        <v>521000</v>
      </c>
      <c r="E405" s="8">
        <f>MAX($D$261:D405)</f>
        <v/>
      </c>
      <c r="F405" s="8">
        <f>D405=MAX($D$261:$D$512)</f>
        <v/>
      </c>
    </row>
    <row r="406">
      <c r="A406" s="6" t="inlineStr">
        <is>
          <t>SK하이닉스</t>
        </is>
      </c>
      <c r="B406" s="6" t="inlineStr">
        <is>
          <t>A000660</t>
        </is>
      </c>
      <c r="C406" s="7" t="n">
        <v>45985</v>
      </c>
      <c r="D406" s="6" t="n">
        <v>520000</v>
      </c>
      <c r="E406" s="8">
        <f>MAX($D$261:D406)</f>
        <v/>
      </c>
      <c r="F406" s="8">
        <f>D406=MAX($D$261:$D$512)</f>
        <v/>
      </c>
    </row>
    <row r="407">
      <c r="A407" s="6" t="inlineStr">
        <is>
          <t>SK하이닉스</t>
        </is>
      </c>
      <c r="B407" s="6" t="inlineStr">
        <is>
          <t>A000660</t>
        </is>
      </c>
      <c r="C407" s="7" t="n">
        <v>45986</v>
      </c>
      <c r="D407" s="6" t="n">
        <v>519000</v>
      </c>
      <c r="E407" s="8">
        <f>MAX($D$261:D407)</f>
        <v/>
      </c>
      <c r="F407" s="8">
        <f>D407=MAX($D$261:$D$512)</f>
        <v/>
      </c>
    </row>
    <row r="408">
      <c r="A408" s="6" t="inlineStr">
        <is>
          <t>SK하이닉스</t>
        </is>
      </c>
      <c r="B408" s="6" t="inlineStr">
        <is>
          <t>A000660</t>
        </is>
      </c>
      <c r="C408" s="7" t="n">
        <v>45987</v>
      </c>
      <c r="D408" s="6" t="n">
        <v>524000</v>
      </c>
      <c r="E408" s="8">
        <f>MAX($D$261:D408)</f>
        <v/>
      </c>
      <c r="F408" s="8">
        <f>D408=MAX($D$261:$D$512)</f>
        <v/>
      </c>
    </row>
    <row r="409">
      <c r="A409" s="6" t="inlineStr">
        <is>
          <t>SK하이닉스</t>
        </is>
      </c>
      <c r="B409" s="6" t="inlineStr">
        <is>
          <t>A000660</t>
        </is>
      </c>
      <c r="C409" s="7" t="n">
        <v>45988</v>
      </c>
      <c r="D409" s="6" t="n">
        <v>544000</v>
      </c>
      <c r="E409" s="8">
        <f>MAX($D$261:D409)</f>
        <v/>
      </c>
      <c r="F409" s="8">
        <f>D409=MAX($D$261:$D$512)</f>
        <v/>
      </c>
    </row>
    <row r="410">
      <c r="A410" s="6" t="inlineStr">
        <is>
          <t>SK하이닉스</t>
        </is>
      </c>
      <c r="B410" s="6" t="inlineStr">
        <is>
          <t>A000660</t>
        </is>
      </c>
      <c r="C410" s="7" t="n">
        <v>45989</v>
      </c>
      <c r="D410" s="6" t="n">
        <v>530000</v>
      </c>
      <c r="E410" s="8">
        <f>MAX($D$261:D410)</f>
        <v/>
      </c>
      <c r="F410" s="8">
        <f>D410=MAX($D$261:$D$512)</f>
        <v/>
      </c>
    </row>
    <row r="411">
      <c r="A411" s="6" t="inlineStr">
        <is>
          <t>SK하이닉스</t>
        </is>
      </c>
      <c r="B411" s="6" t="inlineStr">
        <is>
          <t>A000660</t>
        </is>
      </c>
      <c r="C411" s="7" t="n">
        <v>45992</v>
      </c>
      <c r="D411" s="6" t="n">
        <v>538000</v>
      </c>
      <c r="E411" s="8">
        <f>MAX($D$261:D411)</f>
        <v/>
      </c>
      <c r="F411" s="8">
        <f>D411=MAX($D$261:$D$512)</f>
        <v/>
      </c>
    </row>
    <row r="412">
      <c r="A412" s="6" t="inlineStr">
        <is>
          <t>SK하이닉스</t>
        </is>
      </c>
      <c r="B412" s="6" t="inlineStr">
        <is>
          <t>A000660</t>
        </is>
      </c>
      <c r="C412" s="7" t="n">
        <v>45993</v>
      </c>
      <c r="D412" s="6" t="n">
        <v>558000</v>
      </c>
      <c r="E412" s="8">
        <f>MAX($D$261:D412)</f>
        <v/>
      </c>
      <c r="F412" s="8">
        <f>D412=MAX($D$261:$D$512)</f>
        <v/>
      </c>
    </row>
    <row r="413">
      <c r="A413" s="6" t="inlineStr">
        <is>
          <t>SK하이닉스</t>
        </is>
      </c>
      <c r="B413" s="6" t="inlineStr">
        <is>
          <t>A000660</t>
        </is>
      </c>
      <c r="C413" s="7" t="n">
        <v>45994</v>
      </c>
      <c r="D413" s="6" t="n">
        <v>552000</v>
      </c>
      <c r="E413" s="8">
        <f>MAX($D$261:D413)</f>
        <v/>
      </c>
      <c r="F413" s="8">
        <f>D413=MAX($D$261:$D$512)</f>
        <v/>
      </c>
    </row>
    <row r="414">
      <c r="A414" s="6" t="inlineStr">
        <is>
          <t>SK하이닉스</t>
        </is>
      </c>
      <c r="B414" s="6" t="inlineStr">
        <is>
          <t>A000660</t>
        </is>
      </c>
      <c r="C414" s="7" t="n">
        <v>45995</v>
      </c>
      <c r="D414" s="6" t="n">
        <v>542000</v>
      </c>
      <c r="E414" s="8">
        <f>MAX($D$261:D414)</f>
        <v/>
      </c>
      <c r="F414" s="8">
        <f>D414=MAX($D$261:$D$512)</f>
        <v/>
      </c>
    </row>
    <row r="415">
      <c r="A415" s="6" t="inlineStr">
        <is>
          <t>SK하이닉스</t>
        </is>
      </c>
      <c r="B415" s="6" t="inlineStr">
        <is>
          <t>A000660</t>
        </is>
      </c>
      <c r="C415" s="7" t="n">
        <v>45996</v>
      </c>
      <c r="D415" s="6" t="n">
        <v>544000</v>
      </c>
      <c r="E415" s="8">
        <f>MAX($D$261:D415)</f>
        <v/>
      </c>
      <c r="F415" s="8">
        <f>D415=MAX($D$261:$D$512)</f>
        <v/>
      </c>
    </row>
    <row r="416">
      <c r="A416" s="6" t="inlineStr">
        <is>
          <t>SK하이닉스</t>
        </is>
      </c>
      <c r="B416" s="6" t="inlineStr">
        <is>
          <t>A000660</t>
        </is>
      </c>
      <c r="C416" s="7" t="n">
        <v>45999</v>
      </c>
      <c r="D416" s="6" t="n">
        <v>577000</v>
      </c>
      <c r="E416" s="8">
        <f>MAX($D$261:D416)</f>
        <v/>
      </c>
      <c r="F416" s="8">
        <f>D416=MAX($D$261:$D$512)</f>
        <v/>
      </c>
    </row>
    <row r="417">
      <c r="A417" s="6" t="inlineStr">
        <is>
          <t>SK하이닉스</t>
        </is>
      </c>
      <c r="B417" s="6" t="inlineStr">
        <is>
          <t>A000660</t>
        </is>
      </c>
      <c r="C417" s="7" t="n">
        <v>46000</v>
      </c>
      <c r="D417" s="6" t="n">
        <v>566000</v>
      </c>
      <c r="E417" s="8">
        <f>MAX($D$261:D417)</f>
        <v/>
      </c>
      <c r="F417" s="8">
        <f>D417=MAX($D$261:$D$512)</f>
        <v/>
      </c>
    </row>
    <row r="418">
      <c r="A418" s="6" t="inlineStr">
        <is>
          <t>SK하이닉스</t>
        </is>
      </c>
      <c r="B418" s="6" t="inlineStr">
        <is>
          <t>A000660</t>
        </is>
      </c>
      <c r="C418" s="7" t="n">
        <v>46001</v>
      </c>
      <c r="D418" s="6" t="n">
        <v>587000</v>
      </c>
      <c r="E418" s="8">
        <f>MAX($D$261:D418)</f>
        <v/>
      </c>
      <c r="F418" s="8">
        <f>D418=MAX($D$261:$D$512)</f>
        <v/>
      </c>
    </row>
    <row r="419">
      <c r="A419" s="6" t="inlineStr">
        <is>
          <t>SK하이닉스</t>
        </is>
      </c>
      <c r="B419" s="6" t="inlineStr">
        <is>
          <t>A000660</t>
        </is>
      </c>
      <c r="C419" s="7" t="n">
        <v>46002</v>
      </c>
      <c r="D419" s="6" t="n">
        <v>565000</v>
      </c>
      <c r="E419" s="8">
        <f>MAX($D$261:D419)</f>
        <v/>
      </c>
      <c r="F419" s="8">
        <f>D419=MAX($D$261:$D$512)</f>
        <v/>
      </c>
    </row>
    <row r="420">
      <c r="A420" s="6" t="inlineStr">
        <is>
          <t>SK하이닉스</t>
        </is>
      </c>
      <c r="B420" s="6" t="inlineStr">
        <is>
          <t>A000660</t>
        </is>
      </c>
      <c r="C420" s="7" t="n">
        <v>46003</v>
      </c>
      <c r="D420" s="6" t="n">
        <v>571000</v>
      </c>
      <c r="E420" s="8">
        <f>MAX($D$261:D420)</f>
        <v/>
      </c>
      <c r="F420" s="8">
        <f>D420=MAX($D$261:$D$512)</f>
        <v/>
      </c>
    </row>
    <row r="421">
      <c r="A421" s="6" t="inlineStr">
        <is>
          <t>SK하이닉스</t>
        </is>
      </c>
      <c r="B421" s="6" t="inlineStr">
        <is>
          <t>A000660</t>
        </is>
      </c>
      <c r="C421" s="7" t="n">
        <v>46006</v>
      </c>
      <c r="D421" s="6" t="n">
        <v>554000</v>
      </c>
      <c r="E421" s="8">
        <f>MAX($D$261:D421)</f>
        <v/>
      </c>
      <c r="F421" s="8">
        <f>D421=MAX($D$261:$D$512)</f>
        <v/>
      </c>
    </row>
    <row r="422">
      <c r="A422" s="6" t="inlineStr">
        <is>
          <t>SK하이닉스</t>
        </is>
      </c>
      <c r="B422" s="6" t="inlineStr">
        <is>
          <t>A000660</t>
        </is>
      </c>
      <c r="C422" s="7" t="n">
        <v>46007</v>
      </c>
      <c r="D422" s="6" t="n">
        <v>530000</v>
      </c>
      <c r="E422" s="8">
        <f>MAX($D$261:D422)</f>
        <v/>
      </c>
      <c r="F422" s="8">
        <f>D422=MAX($D$261:$D$512)</f>
        <v/>
      </c>
    </row>
    <row r="423">
      <c r="A423" s="6" t="inlineStr">
        <is>
          <t>SK하이닉스</t>
        </is>
      </c>
      <c r="B423" s="6" t="inlineStr">
        <is>
          <t>A000660</t>
        </is>
      </c>
      <c r="C423" s="7" t="n">
        <v>46008</v>
      </c>
      <c r="D423" s="6" t="n">
        <v>551000</v>
      </c>
      <c r="E423" s="8">
        <f>MAX($D$261:D423)</f>
        <v/>
      </c>
      <c r="F423" s="8">
        <f>D423=MAX($D$261:$D$512)</f>
        <v/>
      </c>
    </row>
    <row r="424">
      <c r="A424" s="6" t="inlineStr">
        <is>
          <t>SK하이닉스</t>
        </is>
      </c>
      <c r="B424" s="6" t="inlineStr">
        <is>
          <t>A000660</t>
        </is>
      </c>
      <c r="C424" s="7" t="n">
        <v>46009</v>
      </c>
      <c r="D424" s="6" t="n">
        <v>552000</v>
      </c>
      <c r="E424" s="8">
        <f>MAX($D$261:D424)</f>
        <v/>
      </c>
      <c r="F424" s="8">
        <f>D424=MAX($D$261:$D$512)</f>
        <v/>
      </c>
    </row>
    <row r="425">
      <c r="A425" s="6" t="inlineStr">
        <is>
          <t>SK하이닉스</t>
        </is>
      </c>
      <c r="B425" s="6" t="inlineStr">
        <is>
          <t>A000660</t>
        </is>
      </c>
      <c r="C425" s="7" t="n">
        <v>46010</v>
      </c>
      <c r="D425" s="6" t="n">
        <v>547000</v>
      </c>
      <c r="E425" s="8">
        <f>MAX($D$261:D425)</f>
        <v/>
      </c>
      <c r="F425" s="8">
        <f>D425=MAX($D$261:$D$512)</f>
        <v/>
      </c>
    </row>
    <row r="426">
      <c r="A426" s="6" t="inlineStr">
        <is>
          <t>SK하이닉스</t>
        </is>
      </c>
      <c r="B426" s="6" t="inlineStr">
        <is>
          <t>A000660</t>
        </is>
      </c>
      <c r="C426" s="7" t="n">
        <v>46013</v>
      </c>
      <c r="D426" s="6" t="n">
        <v>580000</v>
      </c>
      <c r="E426" s="8">
        <f>MAX($D$261:D426)</f>
        <v/>
      </c>
      <c r="F426" s="8">
        <f>D426=MAX($D$261:$D$512)</f>
        <v/>
      </c>
    </row>
    <row r="427">
      <c r="A427" s="6" t="inlineStr">
        <is>
          <t>SK하이닉스</t>
        </is>
      </c>
      <c r="B427" s="6" t="inlineStr">
        <is>
          <t>A000660</t>
        </is>
      </c>
      <c r="C427" s="7" t="n">
        <v>46014</v>
      </c>
      <c r="D427" s="6" t="n">
        <v>584000</v>
      </c>
      <c r="E427" s="8">
        <f>MAX($D$261:D427)</f>
        <v/>
      </c>
      <c r="F427" s="8">
        <f>D427=MAX($D$261:$D$512)</f>
        <v/>
      </c>
    </row>
    <row r="428">
      <c r="A428" s="6" t="inlineStr">
        <is>
          <t>SK하이닉스</t>
        </is>
      </c>
      <c r="B428" s="6" t="inlineStr">
        <is>
          <t>A000660</t>
        </is>
      </c>
      <c r="C428" s="7" t="n">
        <v>46015</v>
      </c>
      <c r="D428" s="6" t="n">
        <v>588000</v>
      </c>
      <c r="E428" s="8">
        <f>MAX($D$261:D428)</f>
        <v/>
      </c>
      <c r="F428" s="8">
        <f>D428=MAX($D$261:$D$512)</f>
        <v/>
      </c>
    </row>
    <row r="429">
      <c r="A429" s="6" t="inlineStr">
        <is>
          <t>SK하이닉스</t>
        </is>
      </c>
      <c r="B429" s="6" t="inlineStr">
        <is>
          <t>A000660</t>
        </is>
      </c>
      <c r="C429" s="7" t="n">
        <v>46017</v>
      </c>
      <c r="D429" s="6" t="n">
        <v>599000</v>
      </c>
      <c r="E429" s="8">
        <f>MAX($D$261:D429)</f>
        <v/>
      </c>
      <c r="F429" s="8">
        <f>D429=MAX($D$261:$D$512)</f>
        <v/>
      </c>
    </row>
    <row r="430">
      <c r="A430" s="6" t="inlineStr">
        <is>
          <t>SK하이닉스</t>
        </is>
      </c>
      <c r="B430" s="6" t="inlineStr">
        <is>
          <t>A000660</t>
        </is>
      </c>
      <c r="C430" s="7" t="n">
        <v>46020</v>
      </c>
      <c r="D430" s="6" t="n">
        <v>640000</v>
      </c>
      <c r="E430" s="8">
        <f>MAX($D$261:D430)</f>
        <v/>
      </c>
      <c r="F430" s="8">
        <f>D430=MAX($D$261:$D$512)</f>
        <v/>
      </c>
    </row>
    <row r="431">
      <c r="A431" s="6" t="inlineStr">
        <is>
          <t>SK하이닉스</t>
        </is>
      </c>
      <c r="B431" s="6" t="inlineStr">
        <is>
          <t>A000660</t>
        </is>
      </c>
      <c r="C431" s="7" t="n">
        <v>46021</v>
      </c>
      <c r="D431" s="6" t="n">
        <v>651000</v>
      </c>
      <c r="E431" s="8">
        <f>MAX($D$261:D431)</f>
        <v/>
      </c>
      <c r="F431" s="8">
        <f>D431=MAX($D$261:$D$512)</f>
        <v/>
      </c>
    </row>
    <row r="432">
      <c r="A432" s="6" t="inlineStr">
        <is>
          <t>SK하이닉스</t>
        </is>
      </c>
      <c r="B432" s="6" t="inlineStr">
        <is>
          <t>A000660</t>
        </is>
      </c>
      <c r="C432" s="7" t="n">
        <v>46024</v>
      </c>
      <c r="D432" s="6" t="n">
        <v>677000</v>
      </c>
      <c r="E432" s="8">
        <f>MAX($D$261:D432)</f>
        <v/>
      </c>
      <c r="F432" s="8">
        <f>D432=MAX($D$261:$D$512)</f>
        <v/>
      </c>
    </row>
    <row r="433">
      <c r="A433" s="6" t="inlineStr">
        <is>
          <t>SK하이닉스</t>
        </is>
      </c>
      <c r="B433" s="6" t="inlineStr">
        <is>
          <t>A000660</t>
        </is>
      </c>
      <c r="C433" s="7" t="n">
        <v>46027</v>
      </c>
      <c r="D433" s="6" t="n">
        <v>696000</v>
      </c>
      <c r="E433" s="8">
        <f>MAX($D$261:D433)</f>
        <v/>
      </c>
      <c r="F433" s="8">
        <f>D433=MAX($D$261:$D$512)</f>
        <v/>
      </c>
    </row>
    <row r="434">
      <c r="A434" s="6" t="inlineStr">
        <is>
          <t>SK하이닉스</t>
        </is>
      </c>
      <c r="B434" s="6" t="inlineStr">
        <is>
          <t>A000660</t>
        </is>
      </c>
      <c r="C434" s="7" t="n">
        <v>46028</v>
      </c>
      <c r="D434" s="6" t="n">
        <v>726000</v>
      </c>
      <c r="E434" s="8">
        <f>MAX($D$261:D434)</f>
        <v/>
      </c>
      <c r="F434" s="8">
        <f>D434=MAX($D$261:$D$512)</f>
        <v/>
      </c>
    </row>
    <row r="435">
      <c r="A435" s="6" t="inlineStr">
        <is>
          <t>SK하이닉스</t>
        </is>
      </c>
      <c r="B435" s="6" t="inlineStr">
        <is>
          <t>A000660</t>
        </is>
      </c>
      <c r="C435" s="7" t="n">
        <v>46029</v>
      </c>
      <c r="D435" s="6" t="n">
        <v>742000</v>
      </c>
      <c r="E435" s="8">
        <f>MAX($D$261:D435)</f>
        <v/>
      </c>
      <c r="F435" s="8">
        <f>D435=MAX($D$261:$D$512)</f>
        <v/>
      </c>
    </row>
    <row r="436">
      <c r="A436" s="6" t="inlineStr">
        <is>
          <t>SK하이닉스</t>
        </is>
      </c>
      <c r="B436" s="6" t="inlineStr">
        <is>
          <t>A000660</t>
        </is>
      </c>
      <c r="C436" s="7" t="n">
        <v>46030</v>
      </c>
      <c r="D436" s="6" t="n">
        <v>756000</v>
      </c>
      <c r="E436" s="8">
        <f>MAX($D$261:D436)</f>
        <v/>
      </c>
      <c r="F436" s="8">
        <f>D436=MAX($D$261:$D$512)</f>
        <v/>
      </c>
    </row>
    <row r="437">
      <c r="A437" s="6" t="inlineStr">
        <is>
          <t>SK하이닉스</t>
        </is>
      </c>
      <c r="B437" s="6" t="inlineStr">
        <is>
          <t>A000660</t>
        </is>
      </c>
      <c r="C437" s="7" t="n">
        <v>46031</v>
      </c>
      <c r="D437" s="6" t="n">
        <v>744000</v>
      </c>
      <c r="E437" s="8">
        <f>MAX($D$261:D437)</f>
        <v/>
      </c>
      <c r="F437" s="8">
        <f>D437=MAX($D$261:$D$512)</f>
        <v/>
      </c>
    </row>
    <row r="438">
      <c r="A438" s="6" t="inlineStr">
        <is>
          <t>SK하이닉스</t>
        </is>
      </c>
      <c r="B438" s="6" t="inlineStr">
        <is>
          <t>A000660</t>
        </is>
      </c>
      <c r="C438" s="7" t="n">
        <v>46034</v>
      </c>
      <c r="D438" s="6" t="n">
        <v>749000</v>
      </c>
      <c r="E438" s="8">
        <f>MAX($D$261:D438)</f>
        <v/>
      </c>
      <c r="F438" s="8">
        <f>D438=MAX($D$261:$D$512)</f>
        <v/>
      </c>
    </row>
    <row r="439">
      <c r="A439" s="6" t="inlineStr">
        <is>
          <t>SK하이닉스</t>
        </is>
      </c>
      <c r="B439" s="6" t="inlineStr">
        <is>
          <t>A000660</t>
        </is>
      </c>
      <c r="C439" s="7" t="n">
        <v>46035</v>
      </c>
      <c r="D439" s="6" t="n">
        <v>738000</v>
      </c>
      <c r="E439" s="8">
        <f>MAX($D$261:D439)</f>
        <v/>
      </c>
      <c r="F439" s="8">
        <f>D439=MAX($D$261:$D$512)</f>
        <v/>
      </c>
    </row>
    <row r="440">
      <c r="A440" s="6" t="inlineStr">
        <is>
          <t>SK하이닉스</t>
        </is>
      </c>
      <c r="B440" s="6" t="inlineStr">
        <is>
          <t>A000660</t>
        </is>
      </c>
      <c r="C440" s="7" t="n">
        <v>46036</v>
      </c>
      <c r="D440" s="6" t="n">
        <v>742000</v>
      </c>
      <c r="E440" s="8">
        <f>MAX($D$261:D440)</f>
        <v/>
      </c>
      <c r="F440" s="8">
        <f>D440=MAX($D$261:$D$512)</f>
        <v/>
      </c>
    </row>
    <row r="441">
      <c r="A441" s="6" t="inlineStr">
        <is>
          <t>SK하이닉스</t>
        </is>
      </c>
      <c r="B441" s="6" t="inlineStr">
        <is>
          <t>A000660</t>
        </is>
      </c>
      <c r="C441" s="7" t="n">
        <v>46037</v>
      </c>
      <c r="D441" s="6" t="n">
        <v>749000</v>
      </c>
      <c r="E441" s="8">
        <f>MAX($D$261:D441)</f>
        <v/>
      </c>
      <c r="F441" s="8">
        <f>D441=MAX($D$261:$D$512)</f>
        <v/>
      </c>
    </row>
    <row r="442">
      <c r="A442" s="6" t="inlineStr">
        <is>
          <t>SK하이닉스</t>
        </is>
      </c>
      <c r="B442" s="6" t="inlineStr">
        <is>
          <t>A000660</t>
        </is>
      </c>
      <c r="C442" s="7" t="n">
        <v>46038</v>
      </c>
      <c r="D442" s="6" t="n">
        <v>756000</v>
      </c>
      <c r="E442" s="8">
        <f>MAX($D$261:D442)</f>
        <v/>
      </c>
      <c r="F442" s="8">
        <f>D442=MAX($D$261:$D$512)</f>
        <v/>
      </c>
    </row>
    <row r="443">
      <c r="A443" s="6" t="inlineStr">
        <is>
          <t>SK하이닉스</t>
        </is>
      </c>
      <c r="B443" s="6" t="inlineStr">
        <is>
          <t>A000660</t>
        </is>
      </c>
      <c r="C443" s="7" t="n">
        <v>46041</v>
      </c>
      <c r="D443" s="6" t="n">
        <v>764000</v>
      </c>
      <c r="E443" s="8">
        <f>MAX($D$261:D443)</f>
        <v/>
      </c>
      <c r="F443" s="8">
        <f>D443=MAX($D$261:$D$512)</f>
        <v/>
      </c>
    </row>
    <row r="444">
      <c r="A444" s="6" t="inlineStr">
        <is>
          <t>SK하이닉스</t>
        </is>
      </c>
      <c r="B444" s="6" t="inlineStr">
        <is>
          <t>A000660</t>
        </is>
      </c>
      <c r="C444" s="7" t="n">
        <v>46042</v>
      </c>
      <c r="D444" s="6" t="n">
        <v>743000</v>
      </c>
      <c r="E444" s="8">
        <f>MAX($D$261:D444)</f>
        <v/>
      </c>
      <c r="F444" s="8">
        <f>D444=MAX($D$261:$D$512)</f>
        <v/>
      </c>
    </row>
    <row r="445">
      <c r="A445" s="6" t="inlineStr">
        <is>
          <t>SK하이닉스</t>
        </is>
      </c>
      <c r="B445" s="6" t="inlineStr">
        <is>
          <t>A000660</t>
        </is>
      </c>
      <c r="C445" s="7" t="n">
        <v>46043</v>
      </c>
      <c r="D445" s="6" t="n">
        <v>740000</v>
      </c>
      <c r="E445" s="8">
        <f>MAX($D$261:D445)</f>
        <v/>
      </c>
      <c r="F445" s="8">
        <f>D445=MAX($D$261:$D$512)</f>
        <v/>
      </c>
    </row>
    <row r="446">
      <c r="A446" s="6" t="inlineStr">
        <is>
          <t>SK하이닉스</t>
        </is>
      </c>
      <c r="B446" s="6" t="inlineStr">
        <is>
          <t>A000660</t>
        </is>
      </c>
      <c r="C446" s="7" t="n">
        <v>46044</v>
      </c>
      <c r="D446" s="6" t="n">
        <v>755000</v>
      </c>
      <c r="E446" s="8">
        <f>MAX($D$261:D446)</f>
        <v/>
      </c>
      <c r="F446" s="8">
        <f>D446=MAX($D$261:$D$512)</f>
        <v/>
      </c>
    </row>
    <row r="447">
      <c r="A447" s="6" t="inlineStr">
        <is>
          <t>SK하이닉스</t>
        </is>
      </c>
      <c r="B447" s="6" t="inlineStr">
        <is>
          <t>A000660</t>
        </is>
      </c>
      <c r="C447" s="7" t="n">
        <v>46045</v>
      </c>
      <c r="D447" s="6" t="n">
        <v>767000</v>
      </c>
      <c r="E447" s="8">
        <f>MAX($D$261:D447)</f>
        <v/>
      </c>
      <c r="F447" s="8">
        <f>D447=MAX($D$261:$D$512)</f>
        <v/>
      </c>
    </row>
    <row r="448">
      <c r="A448" s="6" t="inlineStr">
        <is>
          <t>SK하이닉스</t>
        </is>
      </c>
      <c r="B448" s="6" t="inlineStr">
        <is>
          <t>A000660</t>
        </is>
      </c>
      <c r="C448" s="7" t="n">
        <v>46048</v>
      </c>
      <c r="D448" s="6" t="n">
        <v>736000</v>
      </c>
      <c r="E448" s="8">
        <f>MAX($D$261:D448)</f>
        <v/>
      </c>
      <c r="F448" s="8">
        <f>D448=MAX($D$261:$D$512)</f>
        <v/>
      </c>
    </row>
    <row r="449">
      <c r="A449" s="6" t="inlineStr">
        <is>
          <t>SK하이닉스</t>
        </is>
      </c>
      <c r="B449" s="6" t="inlineStr">
        <is>
          <t>A000660</t>
        </is>
      </c>
      <c r="C449" s="7" t="n">
        <v>46049</v>
      </c>
      <c r="D449" s="6" t="n">
        <v>800000</v>
      </c>
      <c r="E449" s="8">
        <f>MAX($D$261:D449)</f>
        <v/>
      </c>
      <c r="F449" s="8">
        <f>D449=MAX($D$261:$D$512)</f>
        <v/>
      </c>
    </row>
    <row r="450">
      <c r="A450" s="6" t="inlineStr">
        <is>
          <t>SK하이닉스</t>
        </is>
      </c>
      <c r="B450" s="6" t="inlineStr">
        <is>
          <t>A000660</t>
        </is>
      </c>
      <c r="C450" s="7" t="n">
        <v>46050</v>
      </c>
      <c r="D450" s="6" t="n">
        <v>841000</v>
      </c>
      <c r="E450" s="8">
        <f>MAX($D$261:D450)</f>
        <v/>
      </c>
      <c r="F450" s="8">
        <f>D450=MAX($D$261:$D$512)</f>
        <v/>
      </c>
    </row>
    <row r="451">
      <c r="A451" s="6" t="inlineStr">
        <is>
          <t>SK하이닉스</t>
        </is>
      </c>
      <c r="B451" s="6" t="inlineStr">
        <is>
          <t>A000660</t>
        </is>
      </c>
      <c r="C451" s="7" t="n">
        <v>46051</v>
      </c>
      <c r="D451" s="6" t="n">
        <v>861000</v>
      </c>
      <c r="E451" s="8">
        <f>MAX($D$261:D451)</f>
        <v/>
      </c>
      <c r="F451" s="8">
        <f>D451=MAX($D$261:$D$512)</f>
        <v/>
      </c>
    </row>
    <row r="452">
      <c r="A452" s="6" t="inlineStr">
        <is>
          <t>SK하이닉스</t>
        </is>
      </c>
      <c r="B452" s="6" t="inlineStr">
        <is>
          <t>A000660</t>
        </is>
      </c>
      <c r="C452" s="7" t="n">
        <v>46052</v>
      </c>
      <c r="D452" s="6" t="n">
        <v>909000</v>
      </c>
      <c r="E452" s="8">
        <f>MAX($D$261:D452)</f>
        <v/>
      </c>
      <c r="F452" s="8">
        <f>D452=MAX($D$261:$D$512)</f>
        <v/>
      </c>
    </row>
    <row r="453">
      <c r="A453" s="6" t="inlineStr">
        <is>
          <t>SK하이닉스</t>
        </is>
      </c>
      <c r="B453" s="6" t="inlineStr">
        <is>
          <t>A000660</t>
        </is>
      </c>
      <c r="C453" s="7" t="n">
        <v>46055</v>
      </c>
      <c r="D453" s="6" t="n">
        <v>830000</v>
      </c>
      <c r="E453" s="8">
        <f>MAX($D$261:D453)</f>
        <v/>
      </c>
      <c r="F453" s="8">
        <f>D453=MAX($D$261:$D$512)</f>
        <v/>
      </c>
    </row>
    <row r="454">
      <c r="A454" s="6" t="inlineStr">
        <is>
          <t>SK하이닉스</t>
        </is>
      </c>
      <c r="B454" s="6" t="inlineStr">
        <is>
          <t>A000660</t>
        </is>
      </c>
      <c r="C454" s="7" t="n">
        <v>46056</v>
      </c>
      <c r="D454" s="6" t="n">
        <v>907000</v>
      </c>
      <c r="E454" s="8">
        <f>MAX($D$261:D454)</f>
        <v/>
      </c>
      <c r="F454" s="8">
        <f>D454=MAX($D$261:$D$512)</f>
        <v/>
      </c>
    </row>
    <row r="455">
      <c r="A455" s="6" t="inlineStr">
        <is>
          <t>SK하이닉스</t>
        </is>
      </c>
      <c r="B455" s="6" t="inlineStr">
        <is>
          <t>A000660</t>
        </is>
      </c>
      <c r="C455" s="7" t="n">
        <v>46057</v>
      </c>
      <c r="D455" s="6" t="n">
        <v>900000</v>
      </c>
      <c r="E455" s="8">
        <f>MAX($D$261:D455)</f>
        <v/>
      </c>
      <c r="F455" s="8">
        <f>D455=MAX($D$261:$D$512)</f>
        <v/>
      </c>
    </row>
    <row r="456">
      <c r="A456" s="6" t="inlineStr">
        <is>
          <t>SK하이닉스</t>
        </is>
      </c>
      <c r="B456" s="6" t="inlineStr">
        <is>
          <t>A000660</t>
        </is>
      </c>
      <c r="C456" s="7" t="n">
        <v>46058</v>
      </c>
      <c r="D456" s="6" t="n">
        <v>842000</v>
      </c>
      <c r="E456" s="8">
        <f>MAX($D$261:D456)</f>
        <v/>
      </c>
      <c r="F456" s="8">
        <f>D456=MAX($D$261:$D$512)</f>
        <v/>
      </c>
    </row>
    <row r="457">
      <c r="A457" s="6" t="inlineStr">
        <is>
          <t>SK하이닉스</t>
        </is>
      </c>
      <c r="B457" s="6" t="inlineStr">
        <is>
          <t>A000660</t>
        </is>
      </c>
      <c r="C457" s="7" t="n">
        <v>46059</v>
      </c>
      <c r="D457" s="6" t="n">
        <v>839000</v>
      </c>
      <c r="E457" s="8">
        <f>MAX($D$261:D457)</f>
        <v/>
      </c>
      <c r="F457" s="8">
        <f>D457=MAX($D$261:$D$512)</f>
        <v/>
      </c>
    </row>
    <row r="458">
      <c r="A458" s="6" t="inlineStr">
        <is>
          <t>SK하이닉스</t>
        </is>
      </c>
      <c r="B458" s="6" t="inlineStr">
        <is>
          <t>A000660</t>
        </is>
      </c>
      <c r="C458" s="7" t="n">
        <v>46062</v>
      </c>
      <c r="D458" s="6" t="n">
        <v>887000</v>
      </c>
      <c r="E458" s="8">
        <f>MAX($D$261:D458)</f>
        <v/>
      </c>
      <c r="F458" s="8">
        <f>D458=MAX($D$261:$D$512)</f>
        <v/>
      </c>
    </row>
    <row r="459">
      <c r="A459" s="6" t="inlineStr">
        <is>
          <t>SK하이닉스</t>
        </is>
      </c>
      <c r="B459" s="6" t="inlineStr">
        <is>
          <t>A000660</t>
        </is>
      </c>
      <c r="C459" s="7" t="n">
        <v>46063</v>
      </c>
      <c r="D459" s="6" t="n">
        <v>876000</v>
      </c>
      <c r="E459" s="8">
        <f>MAX($D$261:D459)</f>
        <v/>
      </c>
      <c r="F459" s="8">
        <f>D459=MAX($D$261:$D$512)</f>
        <v/>
      </c>
    </row>
    <row r="460">
      <c r="A460" s="6" t="inlineStr">
        <is>
          <t>SK하이닉스</t>
        </is>
      </c>
      <c r="B460" s="6" t="inlineStr">
        <is>
          <t>A000660</t>
        </is>
      </c>
      <c r="C460" s="7" t="n">
        <v>46064</v>
      </c>
      <c r="D460" s="6" t="n">
        <v>860000</v>
      </c>
      <c r="E460" s="8">
        <f>MAX($D$261:D460)</f>
        <v/>
      </c>
      <c r="F460" s="8">
        <f>D460=MAX($D$261:$D$512)</f>
        <v/>
      </c>
    </row>
    <row r="461">
      <c r="A461" s="6" t="inlineStr">
        <is>
          <t>SK하이닉스</t>
        </is>
      </c>
      <c r="B461" s="6" t="inlineStr">
        <is>
          <t>A000660</t>
        </is>
      </c>
      <c r="C461" s="7" t="n">
        <v>46065</v>
      </c>
      <c r="D461" s="6" t="n">
        <v>888000</v>
      </c>
      <c r="E461" s="8">
        <f>MAX($D$261:D461)</f>
        <v/>
      </c>
      <c r="F461" s="8">
        <f>D461=MAX($D$261:$D$512)</f>
        <v/>
      </c>
    </row>
    <row r="462">
      <c r="A462" s="6" t="inlineStr">
        <is>
          <t>SK하이닉스</t>
        </is>
      </c>
      <c r="B462" s="6" t="inlineStr">
        <is>
          <t>A000660</t>
        </is>
      </c>
      <c r="C462" s="7" t="n">
        <v>46066</v>
      </c>
      <c r="D462" s="6" t="n">
        <v>880000</v>
      </c>
      <c r="E462" s="8">
        <f>MAX($D$261:D462)</f>
        <v/>
      </c>
      <c r="F462" s="8">
        <f>D462=MAX($D$261:$D$512)</f>
        <v/>
      </c>
    </row>
    <row r="463">
      <c r="A463" s="6" t="inlineStr">
        <is>
          <t>SK하이닉스</t>
        </is>
      </c>
      <c r="B463" s="6" t="inlineStr">
        <is>
          <t>A000660</t>
        </is>
      </c>
      <c r="C463" s="7" t="n">
        <v>46072</v>
      </c>
      <c r="D463" s="6" t="n">
        <v>894000</v>
      </c>
      <c r="E463" s="8">
        <f>MAX($D$261:D463)</f>
        <v/>
      </c>
      <c r="F463" s="8">
        <f>D463=MAX($D$261:$D$512)</f>
        <v/>
      </c>
    </row>
    <row r="464">
      <c r="A464" s="6" t="inlineStr">
        <is>
          <t>SK하이닉스</t>
        </is>
      </c>
      <c r="B464" s="6" t="inlineStr">
        <is>
          <t>A000660</t>
        </is>
      </c>
      <c r="C464" s="7" t="n">
        <v>46073</v>
      </c>
      <c r="D464" s="6" t="n">
        <v>949000</v>
      </c>
      <c r="E464" s="8">
        <f>MAX($D$261:D464)</f>
        <v/>
      </c>
      <c r="F464" s="8">
        <f>D464=MAX($D$261:$D$512)</f>
        <v/>
      </c>
    </row>
    <row r="465">
      <c r="A465" s="6" t="inlineStr">
        <is>
          <t>SK하이닉스</t>
        </is>
      </c>
      <c r="B465" s="6" t="inlineStr">
        <is>
          <t>A000660</t>
        </is>
      </c>
      <c r="C465" s="7" t="n">
        <v>46076</v>
      </c>
      <c r="D465" s="6" t="n">
        <v>951000</v>
      </c>
      <c r="E465" s="8">
        <f>MAX($D$261:D465)</f>
        <v/>
      </c>
      <c r="F465" s="8">
        <f>D465=MAX($D$261:$D$512)</f>
        <v/>
      </c>
    </row>
    <row r="466">
      <c r="A466" s="6" t="inlineStr">
        <is>
          <t>SK하이닉스</t>
        </is>
      </c>
      <c r="B466" s="6" t="inlineStr">
        <is>
          <t>A000660</t>
        </is>
      </c>
      <c r="C466" s="7" t="n">
        <v>46077</v>
      </c>
      <c r="D466" s="6" t="n">
        <v>1005000</v>
      </c>
      <c r="E466" s="8">
        <f>MAX($D$261:D466)</f>
        <v/>
      </c>
      <c r="F466" s="8">
        <f>D466=MAX($D$261:$D$512)</f>
        <v/>
      </c>
    </row>
    <row r="467">
      <c r="A467" s="6" t="inlineStr">
        <is>
          <t>SK하이닉스</t>
        </is>
      </c>
      <c r="B467" s="6" t="inlineStr">
        <is>
          <t>A000660</t>
        </is>
      </c>
      <c r="C467" s="7" t="n">
        <v>46078</v>
      </c>
      <c r="D467" s="6" t="n">
        <v>1018000</v>
      </c>
      <c r="E467" s="8">
        <f>MAX($D$261:D467)</f>
        <v/>
      </c>
      <c r="F467" s="8">
        <f>D467=MAX($D$261:$D$512)</f>
        <v/>
      </c>
    </row>
    <row r="468">
      <c r="A468" s="6" t="inlineStr">
        <is>
          <t>SK하이닉스</t>
        </is>
      </c>
      <c r="B468" s="6" t="inlineStr">
        <is>
          <t>A000660</t>
        </is>
      </c>
      <c r="C468" s="7" t="n">
        <v>46079</v>
      </c>
      <c r="D468" s="6" t="n">
        <v>1099000</v>
      </c>
      <c r="E468" s="8">
        <f>MAX($D$261:D468)</f>
        <v/>
      </c>
      <c r="F468" s="8">
        <f>D468=MAX($D$261:$D$512)</f>
        <v/>
      </c>
    </row>
    <row r="469">
      <c r="A469" s="6" t="inlineStr">
        <is>
          <t>SK하이닉스</t>
        </is>
      </c>
      <c r="B469" s="6" t="inlineStr">
        <is>
          <t>A000660</t>
        </is>
      </c>
      <c r="C469" s="7" t="n">
        <v>46080</v>
      </c>
      <c r="D469" s="6" t="n">
        <v>1061000</v>
      </c>
      <c r="E469" s="8">
        <f>MAX($D$261:D469)</f>
        <v/>
      </c>
      <c r="F469" s="8">
        <f>D469=MAX($D$261:$D$512)</f>
        <v/>
      </c>
    </row>
    <row r="470">
      <c r="A470" s="6" t="inlineStr">
        <is>
          <t>SK하이닉스</t>
        </is>
      </c>
      <c r="B470" s="6" t="inlineStr">
        <is>
          <t>A000660</t>
        </is>
      </c>
      <c r="C470" s="7" t="n">
        <v>46084</v>
      </c>
      <c r="D470" s="6" t="n">
        <v>939000</v>
      </c>
      <c r="E470" s="8">
        <f>MAX($D$261:D470)</f>
        <v/>
      </c>
      <c r="F470" s="8">
        <f>D470=MAX($D$261:$D$512)</f>
        <v/>
      </c>
    </row>
    <row r="471">
      <c r="A471" s="6" t="inlineStr">
        <is>
          <t>SK하이닉스</t>
        </is>
      </c>
      <c r="B471" s="6" t="inlineStr">
        <is>
          <t>A000660</t>
        </is>
      </c>
      <c r="C471" s="7" t="n">
        <v>46085</v>
      </c>
      <c r="D471" s="6" t="n">
        <v>849000</v>
      </c>
      <c r="E471" s="8">
        <f>MAX($D$261:D471)</f>
        <v/>
      </c>
      <c r="F471" s="8">
        <f>D471=MAX($D$261:$D$512)</f>
        <v/>
      </c>
    </row>
    <row r="472">
      <c r="A472" s="6" t="inlineStr">
        <is>
          <t>SK하이닉스</t>
        </is>
      </c>
      <c r="B472" s="6" t="inlineStr">
        <is>
          <t>A000660</t>
        </is>
      </c>
      <c r="C472" s="7" t="n">
        <v>46086</v>
      </c>
      <c r="D472" s="6" t="n">
        <v>941000</v>
      </c>
      <c r="E472" s="8">
        <f>MAX($D$261:D472)</f>
        <v/>
      </c>
      <c r="F472" s="8">
        <f>D472=MAX($D$261:$D$512)</f>
        <v/>
      </c>
    </row>
    <row r="473">
      <c r="A473" s="6" t="inlineStr">
        <is>
          <t>SK하이닉스</t>
        </is>
      </c>
      <c r="B473" s="6" t="inlineStr">
        <is>
          <t>A000660</t>
        </is>
      </c>
      <c r="C473" s="7" t="n">
        <v>46087</v>
      </c>
      <c r="D473" s="6" t="n">
        <v>924000</v>
      </c>
      <c r="E473" s="8">
        <f>MAX($D$261:D473)</f>
        <v/>
      </c>
      <c r="F473" s="8">
        <f>D473=MAX($D$261:$D$512)</f>
        <v/>
      </c>
    </row>
    <row r="474">
      <c r="A474" s="6" t="inlineStr">
        <is>
          <t>SK하이닉스</t>
        </is>
      </c>
      <c r="B474" s="6" t="inlineStr">
        <is>
          <t>A000660</t>
        </is>
      </c>
      <c r="C474" s="7" t="n">
        <v>46090</v>
      </c>
      <c r="D474" s="6" t="n">
        <v>836000</v>
      </c>
      <c r="E474" s="8">
        <f>MAX($D$261:D474)</f>
        <v/>
      </c>
      <c r="F474" s="8">
        <f>D474=MAX($D$261:$D$512)</f>
        <v/>
      </c>
    </row>
    <row r="475">
      <c r="A475" s="6" t="inlineStr">
        <is>
          <t>SK하이닉스</t>
        </is>
      </c>
      <c r="B475" s="6" t="inlineStr">
        <is>
          <t>A000660</t>
        </is>
      </c>
      <c r="C475" s="7" t="n">
        <v>46091</v>
      </c>
      <c r="D475" s="6" t="n">
        <v>938000</v>
      </c>
      <c r="E475" s="8">
        <f>MAX($D$261:D475)</f>
        <v/>
      </c>
      <c r="F475" s="8">
        <f>D475=MAX($D$261:$D$512)</f>
        <v/>
      </c>
    </row>
    <row r="476">
      <c r="A476" s="6" t="inlineStr">
        <is>
          <t>SK하이닉스</t>
        </is>
      </c>
      <c r="B476" s="6" t="inlineStr">
        <is>
          <t>A000660</t>
        </is>
      </c>
      <c r="C476" s="7" t="n">
        <v>46092</v>
      </c>
      <c r="D476" s="6" t="n">
        <v>955000</v>
      </c>
      <c r="E476" s="8">
        <f>MAX($D$261:D476)</f>
        <v/>
      </c>
      <c r="F476" s="8">
        <f>D476=MAX($D$261:$D$512)</f>
        <v/>
      </c>
    </row>
    <row r="477">
      <c r="A477" s="6" t="inlineStr">
        <is>
          <t>SK하이닉스</t>
        </is>
      </c>
      <c r="B477" s="6" t="inlineStr">
        <is>
          <t>A000660</t>
        </is>
      </c>
      <c r="C477" s="7" t="n">
        <v>46093</v>
      </c>
      <c r="D477" s="6" t="n">
        <v>930000</v>
      </c>
      <c r="E477" s="8">
        <f>MAX($D$261:D477)</f>
        <v/>
      </c>
      <c r="F477" s="8">
        <f>D477=MAX($D$261:$D$512)</f>
        <v/>
      </c>
    </row>
    <row r="478">
      <c r="A478" s="6" t="inlineStr">
        <is>
          <t>SK하이닉스</t>
        </is>
      </c>
      <c r="B478" s="6" t="inlineStr">
        <is>
          <t>A000660</t>
        </is>
      </c>
      <c r="C478" s="7" t="n">
        <v>46094</v>
      </c>
      <c r="D478" s="6" t="n">
        <v>910000</v>
      </c>
      <c r="E478" s="8">
        <f>MAX($D$261:D478)</f>
        <v/>
      </c>
      <c r="F478" s="8">
        <f>D478=MAX($D$261:$D$512)</f>
        <v/>
      </c>
    </row>
    <row r="479">
      <c r="A479" s="6" t="inlineStr">
        <is>
          <t>SK하이닉스</t>
        </is>
      </c>
      <c r="B479" s="6" t="inlineStr">
        <is>
          <t>A000660</t>
        </is>
      </c>
      <c r="C479" s="7" t="n">
        <v>46097</v>
      </c>
      <c r="D479" s="6" t="n">
        <v>974000</v>
      </c>
      <c r="E479" s="8">
        <f>MAX($D$261:D479)</f>
        <v/>
      </c>
      <c r="F479" s="8">
        <f>D479=MAX($D$261:$D$512)</f>
        <v/>
      </c>
    </row>
    <row r="480">
      <c r="A480" s="6" t="inlineStr">
        <is>
          <t>SK하이닉스</t>
        </is>
      </c>
      <c r="B480" s="6" t="inlineStr">
        <is>
          <t>A000660</t>
        </is>
      </c>
      <c r="C480" s="7" t="n">
        <v>46098</v>
      </c>
      <c r="D480" s="6" t="n">
        <v>970000</v>
      </c>
      <c r="E480" s="8">
        <f>MAX($D$261:D480)</f>
        <v/>
      </c>
      <c r="F480" s="8">
        <f>D480=MAX($D$261:$D$512)</f>
        <v/>
      </c>
    </row>
    <row r="481">
      <c r="A481" s="6" t="inlineStr">
        <is>
          <t>SK하이닉스</t>
        </is>
      </c>
      <c r="B481" s="6" t="inlineStr">
        <is>
          <t>A000660</t>
        </is>
      </c>
      <c r="C481" s="7" t="n">
        <v>46099</v>
      </c>
      <c r="D481" s="6" t="n">
        <v>1056000</v>
      </c>
      <c r="E481" s="8">
        <f>MAX($D$261:D481)</f>
        <v/>
      </c>
      <c r="F481" s="8">
        <f>D481=MAX($D$261:$D$512)</f>
        <v/>
      </c>
    </row>
    <row r="482">
      <c r="A482" s="6" t="inlineStr">
        <is>
          <t>SK하이닉스</t>
        </is>
      </c>
      <c r="B482" s="6" t="inlineStr">
        <is>
          <t>A000660</t>
        </is>
      </c>
      <c r="C482" s="7" t="n">
        <v>46100</v>
      </c>
      <c r="D482" s="6" t="n">
        <v>1013000</v>
      </c>
      <c r="E482" s="8">
        <f>MAX($D$261:D482)</f>
        <v/>
      </c>
      <c r="F482" s="8">
        <f>D482=MAX($D$261:$D$512)</f>
        <v/>
      </c>
    </row>
    <row r="483">
      <c r="A483" s="6" t="inlineStr">
        <is>
          <t>SK하이닉스</t>
        </is>
      </c>
      <c r="B483" s="6" t="inlineStr">
        <is>
          <t>A000660</t>
        </is>
      </c>
      <c r="C483" s="7" t="n">
        <v>46101</v>
      </c>
      <c r="D483" s="6" t="n">
        <v>1007000</v>
      </c>
      <c r="E483" s="8">
        <f>MAX($D$261:D483)</f>
        <v/>
      </c>
      <c r="F483" s="8">
        <f>D483=MAX($D$261:$D$512)</f>
        <v/>
      </c>
    </row>
    <row r="484">
      <c r="A484" s="6" t="inlineStr">
        <is>
          <t>SK하이닉스</t>
        </is>
      </c>
      <c r="B484" s="6" t="inlineStr">
        <is>
          <t>A000660</t>
        </is>
      </c>
      <c r="C484" s="7" t="n">
        <v>46104</v>
      </c>
      <c r="D484" s="6" t="n">
        <v>933000</v>
      </c>
      <c r="E484" s="8">
        <f>MAX($D$261:D484)</f>
        <v/>
      </c>
      <c r="F484" s="8">
        <f>D484=MAX($D$261:$D$512)</f>
        <v/>
      </c>
    </row>
    <row r="485">
      <c r="A485" s="6" t="inlineStr">
        <is>
          <t>SK하이닉스</t>
        </is>
      </c>
      <c r="B485" s="6" t="inlineStr">
        <is>
          <t>A000660</t>
        </is>
      </c>
      <c r="C485" s="7" t="n">
        <v>46105</v>
      </c>
      <c r="D485" s="6" t="n">
        <v>986000</v>
      </c>
      <c r="E485" s="8">
        <f>MAX($D$261:D485)</f>
        <v/>
      </c>
      <c r="F485" s="8">
        <f>D485=MAX($D$261:$D$512)</f>
        <v/>
      </c>
    </row>
    <row r="486">
      <c r="A486" s="6" t="inlineStr">
        <is>
          <t>SK하이닉스</t>
        </is>
      </c>
      <c r="B486" s="6" t="inlineStr">
        <is>
          <t>A000660</t>
        </is>
      </c>
      <c r="C486" s="7" t="n">
        <v>46106</v>
      </c>
      <c r="D486" s="6" t="n">
        <v>995000</v>
      </c>
      <c r="E486" s="8">
        <f>MAX($D$261:D486)</f>
        <v/>
      </c>
      <c r="F486" s="8">
        <f>D486=MAX($D$261:$D$512)</f>
        <v/>
      </c>
    </row>
    <row r="487">
      <c r="A487" s="6" t="inlineStr">
        <is>
          <t>SK하이닉스</t>
        </is>
      </c>
      <c r="B487" s="6" t="inlineStr">
        <is>
          <t>A000660</t>
        </is>
      </c>
      <c r="C487" s="7" t="n">
        <v>46107</v>
      </c>
      <c r="D487" s="6" t="n">
        <v>933000</v>
      </c>
      <c r="E487" s="8">
        <f>MAX($D$261:D487)</f>
        <v/>
      </c>
      <c r="F487" s="8">
        <f>D487=MAX($D$261:$D$512)</f>
        <v/>
      </c>
    </row>
    <row r="488">
      <c r="A488" s="6" t="inlineStr">
        <is>
          <t>SK하이닉스</t>
        </is>
      </c>
      <c r="B488" s="6" t="inlineStr">
        <is>
          <t>A000660</t>
        </is>
      </c>
      <c r="C488" s="7" t="n">
        <v>46108</v>
      </c>
      <c r="D488" s="6" t="n">
        <v>922000</v>
      </c>
      <c r="E488" s="8">
        <f>MAX($D$261:D488)</f>
        <v/>
      </c>
      <c r="F488" s="8">
        <f>D488=MAX($D$261:$D$512)</f>
        <v/>
      </c>
    </row>
    <row r="489">
      <c r="A489" s="6" t="inlineStr">
        <is>
          <t>SK하이닉스</t>
        </is>
      </c>
      <c r="B489" s="6" t="inlineStr">
        <is>
          <t>A000660</t>
        </is>
      </c>
      <c r="C489" s="7" t="n">
        <v>46111</v>
      </c>
      <c r="D489" s="6" t="n">
        <v>873000</v>
      </c>
      <c r="E489" s="8">
        <f>MAX($D$261:D489)</f>
        <v/>
      </c>
      <c r="F489" s="8">
        <f>D489=MAX($D$261:$D$512)</f>
        <v/>
      </c>
    </row>
    <row r="490">
      <c r="A490" s="6" t="inlineStr">
        <is>
          <t>SK하이닉스</t>
        </is>
      </c>
      <c r="B490" s="6" t="inlineStr">
        <is>
          <t>A000660</t>
        </is>
      </c>
      <c r="C490" s="7" t="n">
        <v>46112</v>
      </c>
      <c r="D490" s="6" t="n">
        <v>807000</v>
      </c>
      <c r="E490" s="8">
        <f>MAX($D$261:D490)</f>
        <v/>
      </c>
      <c r="F490" s="8">
        <f>D490=MAX($D$261:$D$512)</f>
        <v/>
      </c>
    </row>
    <row r="491">
      <c r="A491" s="6" t="inlineStr">
        <is>
          <t>SK하이닉스</t>
        </is>
      </c>
      <c r="B491" s="6" t="inlineStr">
        <is>
          <t>A000660</t>
        </is>
      </c>
      <c r="C491" s="7" t="n">
        <v>46113</v>
      </c>
      <c r="D491" s="6" t="n">
        <v>893000</v>
      </c>
      <c r="E491" s="8">
        <f>MAX($D$261:D491)</f>
        <v/>
      </c>
      <c r="F491" s="8">
        <f>D491=MAX($D$261:$D$512)</f>
        <v/>
      </c>
    </row>
    <row r="492">
      <c r="A492" s="6" t="inlineStr">
        <is>
          <t>SK하이닉스</t>
        </is>
      </c>
      <c r="B492" s="6" t="inlineStr">
        <is>
          <t>A000660</t>
        </is>
      </c>
      <c r="C492" s="7" t="n">
        <v>46114</v>
      </c>
      <c r="D492" s="6" t="n">
        <v>830000</v>
      </c>
      <c r="E492" s="8">
        <f>MAX($D$261:D492)</f>
        <v/>
      </c>
      <c r="F492" s="8">
        <f>D492=MAX($D$261:$D$512)</f>
        <v/>
      </c>
    </row>
    <row r="493">
      <c r="A493" s="6" t="inlineStr">
        <is>
          <t>SK하이닉스</t>
        </is>
      </c>
      <c r="B493" s="6" t="inlineStr">
        <is>
          <t>A000660</t>
        </is>
      </c>
      <c r="C493" s="7" t="n">
        <v>46115</v>
      </c>
      <c r="D493" s="6" t="n">
        <v>876000</v>
      </c>
      <c r="E493" s="8">
        <f>MAX($D$261:D493)</f>
        <v/>
      </c>
      <c r="F493" s="8">
        <f>D493=MAX($D$261:$D$512)</f>
        <v/>
      </c>
    </row>
    <row r="494">
      <c r="A494" s="6" t="inlineStr">
        <is>
          <t>SK하이닉스</t>
        </is>
      </c>
      <c r="B494" s="6" t="inlineStr">
        <is>
          <t>A000660</t>
        </is>
      </c>
      <c r="C494" s="7" t="n">
        <v>46118</v>
      </c>
      <c r="D494" s="6" t="n">
        <v>886000</v>
      </c>
      <c r="E494" s="8">
        <f>MAX($D$261:D494)</f>
        <v/>
      </c>
      <c r="F494" s="8">
        <f>D494=MAX($D$261:$D$512)</f>
        <v/>
      </c>
    </row>
    <row r="495">
      <c r="A495" s="6" t="inlineStr">
        <is>
          <t>SK하이닉스</t>
        </is>
      </c>
      <c r="B495" s="6" t="inlineStr">
        <is>
          <t>A000660</t>
        </is>
      </c>
      <c r="C495" s="7" t="n">
        <v>46119</v>
      </c>
      <c r="D495" s="6" t="n">
        <v>916000</v>
      </c>
      <c r="E495" s="8">
        <f>MAX($D$261:D495)</f>
        <v/>
      </c>
      <c r="F495" s="8">
        <f>D495=MAX($D$261:$D$512)</f>
        <v/>
      </c>
    </row>
    <row r="496">
      <c r="A496" s="6" t="inlineStr">
        <is>
          <t>SK하이닉스</t>
        </is>
      </c>
      <c r="B496" s="6" t="inlineStr">
        <is>
          <t>A000660</t>
        </is>
      </c>
      <c r="C496" s="7" t="n">
        <v>46120</v>
      </c>
      <c r="D496" s="6" t="n">
        <v>1033000</v>
      </c>
      <c r="E496" s="8">
        <f>MAX($D$261:D496)</f>
        <v/>
      </c>
      <c r="F496" s="8">
        <f>D496=MAX($D$261:$D$512)</f>
        <v/>
      </c>
    </row>
    <row r="497">
      <c r="A497" s="6" t="inlineStr">
        <is>
          <t>SK하이닉스</t>
        </is>
      </c>
      <c r="B497" s="6" t="inlineStr">
        <is>
          <t>A000660</t>
        </is>
      </c>
      <c r="C497" s="7" t="n">
        <v>46121</v>
      </c>
      <c r="D497" s="6" t="n">
        <v>998000</v>
      </c>
      <c r="E497" s="8">
        <f>MAX($D$261:D497)</f>
        <v/>
      </c>
      <c r="F497" s="8">
        <f>D497=MAX($D$261:$D$512)</f>
        <v/>
      </c>
    </row>
    <row r="498">
      <c r="A498" s="6" t="inlineStr">
        <is>
          <t>SK하이닉스</t>
        </is>
      </c>
      <c r="B498" s="6" t="inlineStr">
        <is>
          <t>A000660</t>
        </is>
      </c>
      <c r="C498" s="7" t="n">
        <v>46122</v>
      </c>
      <c r="D498" s="6" t="n">
        <v>1027000</v>
      </c>
      <c r="E498" s="8">
        <f>MAX($D$261:D498)</f>
        <v/>
      </c>
      <c r="F498" s="8">
        <f>D498=MAX($D$261:$D$512)</f>
        <v/>
      </c>
    </row>
    <row r="499">
      <c r="A499" s="6" t="inlineStr">
        <is>
          <t>SK하이닉스</t>
        </is>
      </c>
      <c r="B499" s="6" t="inlineStr">
        <is>
          <t>A000660</t>
        </is>
      </c>
      <c r="C499" s="7" t="n">
        <v>46125</v>
      </c>
      <c r="D499" s="6" t="n">
        <v>1040000</v>
      </c>
      <c r="E499" s="8">
        <f>MAX($D$261:D499)</f>
        <v/>
      </c>
      <c r="F499" s="8">
        <f>D499=MAX($D$261:$D$512)</f>
        <v/>
      </c>
    </row>
    <row r="500">
      <c r="A500" s="6" t="inlineStr">
        <is>
          <t>SK하이닉스</t>
        </is>
      </c>
      <c r="B500" s="6" t="inlineStr">
        <is>
          <t>A000660</t>
        </is>
      </c>
      <c r="C500" s="7" t="n">
        <v>46126</v>
      </c>
      <c r="D500" s="6" t="n">
        <v>1103000</v>
      </c>
      <c r="E500" s="8">
        <f>MAX($D$261:D500)</f>
        <v/>
      </c>
      <c r="F500" s="8">
        <f>D500=MAX($D$261:$D$512)</f>
        <v/>
      </c>
    </row>
    <row r="501">
      <c r="A501" s="6" t="inlineStr">
        <is>
          <t>SK하이닉스</t>
        </is>
      </c>
      <c r="B501" s="6" t="inlineStr">
        <is>
          <t>A000660</t>
        </is>
      </c>
      <c r="C501" s="7" t="n">
        <v>46127</v>
      </c>
      <c r="D501" s="6" t="n">
        <v>1136000</v>
      </c>
      <c r="E501" s="8">
        <f>MAX($D$261:D501)</f>
        <v/>
      </c>
      <c r="F501" s="8">
        <f>D501=MAX($D$261:$D$512)</f>
        <v/>
      </c>
    </row>
    <row r="502">
      <c r="A502" s="6" t="inlineStr">
        <is>
          <t>SK하이닉스</t>
        </is>
      </c>
      <c r="B502" s="6" t="inlineStr">
        <is>
          <t>A000660</t>
        </is>
      </c>
      <c r="C502" s="7" t="n">
        <v>46128</v>
      </c>
      <c r="D502" s="6" t="n">
        <v>1155000</v>
      </c>
      <c r="E502" s="8">
        <f>MAX($D$261:D502)</f>
        <v/>
      </c>
      <c r="F502" s="8">
        <f>D502=MAX($D$261:$D$512)</f>
        <v/>
      </c>
    </row>
    <row r="503">
      <c r="A503" s="6" t="inlineStr">
        <is>
          <t>SK하이닉스</t>
        </is>
      </c>
      <c r="B503" s="6" t="inlineStr">
        <is>
          <t>A000660</t>
        </is>
      </c>
      <c r="C503" s="7" t="n">
        <v>46129</v>
      </c>
      <c r="D503" s="6" t="n">
        <v>1128000</v>
      </c>
      <c r="E503" s="8">
        <f>MAX($D$261:D503)</f>
        <v/>
      </c>
      <c r="F503" s="8">
        <f>D503=MAX($D$261:$D$512)</f>
        <v/>
      </c>
    </row>
    <row r="504">
      <c r="A504" s="6" t="inlineStr">
        <is>
          <t>SK하이닉스</t>
        </is>
      </c>
      <c r="B504" s="6" t="inlineStr">
        <is>
          <t>A000660</t>
        </is>
      </c>
      <c r="C504" s="7" t="n">
        <v>46132</v>
      </c>
      <c r="D504" s="6" t="n">
        <v>1166000</v>
      </c>
      <c r="E504" s="8">
        <f>MAX($D$261:D504)</f>
        <v/>
      </c>
      <c r="F504" s="8">
        <f>D504=MAX($D$261:$D$512)</f>
        <v/>
      </c>
    </row>
    <row r="505">
      <c r="A505" s="6" t="inlineStr">
        <is>
          <t>SK하이닉스</t>
        </is>
      </c>
      <c r="B505" s="6" t="inlineStr">
        <is>
          <t>A000660</t>
        </is>
      </c>
      <c r="C505" s="7" t="n">
        <v>46133</v>
      </c>
      <c r="D505" s="6" t="n">
        <v>1224000</v>
      </c>
      <c r="E505" s="8">
        <f>MAX($D$261:D505)</f>
        <v/>
      </c>
      <c r="F505" s="8">
        <f>D505=MAX($D$261:$D$512)</f>
        <v/>
      </c>
    </row>
    <row r="506">
      <c r="A506" s="6" t="inlineStr">
        <is>
          <t>SK하이닉스</t>
        </is>
      </c>
      <c r="B506" s="6" t="inlineStr">
        <is>
          <t>A000660</t>
        </is>
      </c>
      <c r="C506" s="7" t="n">
        <v>46134</v>
      </c>
      <c r="D506" s="6" t="n">
        <v>1223000</v>
      </c>
      <c r="E506" s="8">
        <f>MAX($D$261:D506)</f>
        <v/>
      </c>
      <c r="F506" s="8">
        <f>D506=MAX($D$261:$D$512)</f>
        <v/>
      </c>
    </row>
    <row r="507">
      <c r="A507" s="6" t="inlineStr">
        <is>
          <t>SK하이닉스</t>
        </is>
      </c>
      <c r="B507" s="6" t="inlineStr">
        <is>
          <t>A000660</t>
        </is>
      </c>
      <c r="C507" s="7" t="n">
        <v>46135</v>
      </c>
      <c r="D507" s="6" t="n">
        <v>1225000</v>
      </c>
      <c r="E507" s="8">
        <f>MAX($D$261:D507)</f>
        <v/>
      </c>
      <c r="F507" s="8">
        <f>D507=MAX($D$261:$D$512)</f>
        <v/>
      </c>
    </row>
    <row r="508">
      <c r="A508" s="6" t="inlineStr">
        <is>
          <t>SK하이닉스</t>
        </is>
      </c>
      <c r="B508" s="6" t="inlineStr">
        <is>
          <t>A000660</t>
        </is>
      </c>
      <c r="C508" s="7" t="n">
        <v>46136</v>
      </c>
      <c r="D508" s="6" t="n">
        <v>1222000</v>
      </c>
      <c r="E508" s="8">
        <f>MAX($D$261:D508)</f>
        <v/>
      </c>
      <c r="F508" s="8">
        <f>D508=MAX($D$261:$D$512)</f>
        <v/>
      </c>
    </row>
    <row r="509">
      <c r="A509" s="6" t="inlineStr">
        <is>
          <t>SK하이닉스</t>
        </is>
      </c>
      <c r="B509" s="6" t="inlineStr">
        <is>
          <t>A000660</t>
        </is>
      </c>
      <c r="C509" s="7" t="n">
        <v>46139</v>
      </c>
      <c r="D509" s="6" t="n">
        <v>1292000</v>
      </c>
      <c r="E509" s="8">
        <f>MAX($D$261:D509)</f>
        <v/>
      </c>
      <c r="F509" s="8">
        <f>D509=MAX($D$261:$D$512)</f>
        <v/>
      </c>
    </row>
    <row r="510">
      <c r="A510" s="6" t="inlineStr">
        <is>
          <t>SK하이닉스</t>
        </is>
      </c>
      <c r="B510" s="6" t="inlineStr">
        <is>
          <t>A000660</t>
        </is>
      </c>
      <c r="C510" s="7" t="n">
        <v>46140</v>
      </c>
      <c r="D510" s="6" t="n">
        <v>1300000</v>
      </c>
      <c r="E510" s="8">
        <f>MAX($D$261:D510)</f>
        <v/>
      </c>
      <c r="F510" s="8">
        <f>D510=MAX($D$261:$D$512)</f>
        <v/>
      </c>
    </row>
    <row r="511">
      <c r="A511" s="6" t="inlineStr">
        <is>
          <t>SK하이닉스</t>
        </is>
      </c>
      <c r="B511" s="6" t="inlineStr">
        <is>
          <t>A000660</t>
        </is>
      </c>
      <c r="C511" s="7" t="n">
        <v>46141</v>
      </c>
      <c r="D511" s="6" t="n">
        <v>1293000</v>
      </c>
      <c r="E511" s="8">
        <f>MAX($D$261:D511)</f>
        <v/>
      </c>
      <c r="F511" s="8">
        <f>D511=MAX($D$261:$D$512)</f>
        <v/>
      </c>
    </row>
    <row r="512">
      <c r="A512" s="6" t="inlineStr">
        <is>
          <t>SK하이닉스</t>
        </is>
      </c>
      <c r="B512" s="6" t="inlineStr">
        <is>
          <t>A000660</t>
        </is>
      </c>
      <c r="C512" s="7" t="n">
        <v>46142</v>
      </c>
      <c r="D512" s="6" t="n">
        <v>1286000</v>
      </c>
      <c r="E512" s="8">
        <f>MAX($D$261:D512)</f>
        <v/>
      </c>
      <c r="F512" s="8">
        <f>D512=MAX($D$261:$D$512)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earnings_momentum 계산 과정</t>
        </is>
      </c>
    </row>
    <row r="2">
      <c r="A2" t="inlineStr">
        <is>
          <t>신호일</t>
        </is>
      </c>
      <c r="B2" s="2" t="n">
        <v>46142</v>
      </c>
      <c r="C2" t="inlineStr">
        <is>
          <t>공통 signal_date 수</t>
        </is>
      </c>
      <c r="D2" t="n">
        <v>301</v>
      </c>
    </row>
    <row r="3"/>
    <row r="4">
      <c r="A4" s="3" t="inlineStr">
        <is>
          <t>종목명</t>
        </is>
      </c>
      <c r="B4" s="3" t="inlineStr">
        <is>
          <t>티커</t>
        </is>
      </c>
      <c r="C4" s="3" t="inlineStr">
        <is>
          <t>12MF OP</t>
        </is>
      </c>
      <c r="D4" s="3" t="inlineStr">
        <is>
          <t>전월 12MF OP</t>
        </is>
      </c>
      <c r="E4" s="3" t="inlineStr">
        <is>
          <t>성장률 수식</t>
        </is>
      </c>
      <c r="F4" s="3" t="inlineStr">
        <is>
          <t>score 수식</t>
        </is>
      </c>
      <c r="G4" s="3" t="inlineStr">
        <is>
          <t>score 코드</t>
        </is>
      </c>
    </row>
    <row r="5">
      <c r="A5" t="inlineStr">
        <is>
          <t>삼성전자</t>
        </is>
      </c>
      <c r="B5" t="inlineStr">
        <is>
          <t>A005930</t>
        </is>
      </c>
      <c r="C5" t="n">
        <v>344258000000000</v>
      </c>
      <c r="D5" t="n">
        <v>205962000000000</v>
      </c>
      <c r="E5" s="4">
        <f>IFERROR(IF(AND(C5&lt;100000000000,(C5-D5)/ABS(D5)&gt;0.5),0,(C5-D5)/ABS(D5)),NA())</f>
        <v/>
      </c>
      <c r="F5" s="4">
        <f>IFERROR(MIN(4,INT((RANK.AVG(E5,$E$9:$E$178,1)-1)*5/COUNT($E$9:$E$178))),NA())</f>
        <v/>
      </c>
      <c r="G5" t="n">
        <v>4</v>
      </c>
    </row>
    <row r="6">
      <c r="A6" t="inlineStr">
        <is>
          <t>SK하이닉스</t>
        </is>
      </c>
      <c r="B6" t="inlineStr">
        <is>
          <t>A000660</t>
        </is>
      </c>
      <c r="C6" t="n">
        <v>276392000000000</v>
      </c>
      <c r="D6" t="n">
        <v>170084000000000</v>
      </c>
      <c r="E6" s="4">
        <f>IFERROR(IF(AND(C6&lt;100000000000,(C6-D6)/ABS(D6)&gt;0.5),0,(C6-D6)/ABS(D6)),NA())</f>
        <v/>
      </c>
      <c r="F6" s="4">
        <f>IFERROR(MIN(4,INT((RANK.AVG(E6,$E$9:$E$178,1)-1)*5/COUNT($E$9:$E$178))),NA())</f>
        <v/>
      </c>
      <c r="G6" t="n">
        <v>4</v>
      </c>
    </row>
    <row r="7"/>
    <row r="8">
      <c r="A8" s="5" t="inlineStr">
        <is>
          <t>티커</t>
        </is>
      </c>
      <c r="B8" s="5" t="inlineStr">
        <is>
          <t>12MF OP</t>
        </is>
      </c>
      <c r="C8" s="5" t="inlineStr">
        <is>
          <t>전월 12MF OP</t>
        </is>
      </c>
      <c r="D8" s="5" t="inlineStr">
        <is>
          <t>계산가능</t>
        </is>
      </c>
      <c r="E8" s="5" t="inlineStr">
        <is>
          <t>성장률 수식</t>
        </is>
      </c>
      <c r="F8" s="5" t="inlineStr">
        <is>
          <t>score 수식</t>
        </is>
      </c>
    </row>
    <row r="9">
      <c r="A9" s="6" t="inlineStr">
        <is>
          <t>A005930</t>
        </is>
      </c>
      <c r="B9" s="6" t="n">
        <v>344258000000000</v>
      </c>
      <c r="C9" s="6" t="n">
        <v>205962000000000</v>
      </c>
      <c r="D9" s="8">
        <f>AND(ISNUMBER(B9),ISNUMBER(C9),C9&lt;&gt;0)</f>
        <v/>
      </c>
      <c r="E9" s="8">
        <f>IFERROR(IF(AND(B9&lt;100000000000,(B9-C9)/ABS(C9)&gt;0.5),0,(B9-C9)/ABS(C9)),NA())</f>
        <v/>
      </c>
      <c r="F9" s="8">
        <f>IFERROR(MIN(4,INT((RANK.AVG(E9,$E$9:$E$178,1)-1)*5/COUNT($E$9:$E$178))),NA())</f>
        <v/>
      </c>
    </row>
    <row r="10">
      <c r="A10" s="6" t="inlineStr">
        <is>
          <t>A000660</t>
        </is>
      </c>
      <c r="B10" s="6" t="n">
        <v>276392000000000</v>
      </c>
      <c r="C10" s="6" t="n">
        <v>170084000000000</v>
      </c>
      <c r="D10" s="8">
        <f>AND(ISNUMBER(B10),ISNUMBER(C10),C10&lt;&gt;0)</f>
        <v/>
      </c>
      <c r="E10" s="8">
        <f>IFERROR(IF(AND(B10&lt;100000000000,(B10-C10)/ABS(C10)&gt;0.5),0,(B10-C10)/ABS(C10)),NA())</f>
        <v/>
      </c>
      <c r="F10" s="8">
        <f>IFERROR(MIN(4,INT((RANK.AVG(E10,$E$9:$E$178,1)-1)*5/COUNT($E$9:$E$178))),NA())</f>
        <v/>
      </c>
    </row>
    <row r="11">
      <c r="A11" s="6" t="inlineStr">
        <is>
          <t>A207940</t>
        </is>
      </c>
      <c r="B11" s="6" t="n">
        <v>2624040000000</v>
      </c>
      <c r="C11" s="6" t="n">
        <v>2497160000000</v>
      </c>
      <c r="D11" s="8">
        <f>AND(ISNUMBER(B11),ISNUMBER(C11),C11&lt;&gt;0)</f>
        <v/>
      </c>
      <c r="E11" s="8">
        <f>IFERROR(IF(AND(B11&lt;100000000000,(B11-C11)/ABS(C11)&gt;0.5),0,(B11-C11)/ABS(C11)),NA())</f>
        <v/>
      </c>
      <c r="F11" s="8">
        <f>IFERROR(MIN(4,INT((RANK.AVG(E11,$E$9:$E$178,1)-1)*5/COUNT($E$9:$E$178))),NA())</f>
        <v/>
      </c>
    </row>
    <row r="12">
      <c r="A12" s="6" t="inlineStr">
        <is>
          <t>A373220</t>
        </is>
      </c>
      <c r="B12" s="6" t="n">
        <v>2176930000000</v>
      </c>
      <c r="C12" s="6" t="n">
        <v>1987160000000</v>
      </c>
      <c r="D12" s="8">
        <f>AND(ISNUMBER(B12),ISNUMBER(C12),C12&lt;&gt;0)</f>
        <v/>
      </c>
      <c r="E12" s="8">
        <f>IFERROR(IF(AND(B12&lt;100000000000,(B12-C12)/ABS(C12)&gt;0.5),0,(B12-C12)/ABS(C12)),NA())</f>
        <v/>
      </c>
      <c r="F12" s="8">
        <f>IFERROR(MIN(4,INT((RANK.AVG(E12,$E$9:$E$178,1)-1)*5/COUNT($E$9:$E$178))),NA())</f>
        <v/>
      </c>
    </row>
    <row r="13">
      <c r="A13" s="6" t="inlineStr">
        <is>
          <t>A012450</t>
        </is>
      </c>
      <c r="B13" s="6" t="n">
        <v>4627770000000</v>
      </c>
      <c r="C13" s="6" t="n">
        <v>4591430000000</v>
      </c>
      <c r="D13" s="8">
        <f>AND(ISNUMBER(B13),ISNUMBER(C13),C13&lt;&gt;0)</f>
        <v/>
      </c>
      <c r="E13" s="8">
        <f>IFERROR(IF(AND(B13&lt;100000000000,(B13-C13)/ABS(C13)&gt;0.5),0,(B13-C13)/ABS(C13)),NA())</f>
        <v/>
      </c>
      <c r="F13" s="8">
        <f>IFERROR(MIN(4,INT((RANK.AVG(E13,$E$9:$E$178,1)-1)*5/COUNT($E$9:$E$178))),NA())</f>
        <v/>
      </c>
    </row>
    <row r="14">
      <c r="A14" s="6" t="inlineStr">
        <is>
          <t>A005380</t>
        </is>
      </c>
      <c r="B14" s="6" t="n">
        <v>12516500000000</v>
      </c>
      <c r="C14" s="6" t="n">
        <v>13158700000000</v>
      </c>
      <c r="D14" s="8">
        <f>AND(ISNUMBER(B14),ISNUMBER(C14),C14&lt;&gt;0)</f>
        <v/>
      </c>
      <c r="E14" s="8">
        <f>IFERROR(IF(AND(B14&lt;100000000000,(B14-C14)/ABS(C14)&gt;0.5),0,(B14-C14)/ABS(C14)),NA())</f>
        <v/>
      </c>
      <c r="F14" s="8">
        <f>IFERROR(MIN(4,INT((RANK.AVG(E14,$E$9:$E$178,1)-1)*5/COUNT($E$9:$E$178))),NA())</f>
        <v/>
      </c>
    </row>
    <row r="15">
      <c r="A15" s="6" t="inlineStr">
        <is>
          <t>A105560</t>
        </is>
      </c>
      <c r="B15" s="6" t="n">
        <v>9129040000000</v>
      </c>
      <c r="C15" s="6" t="n">
        <v>8728370000000</v>
      </c>
      <c r="D15" s="8">
        <f>AND(ISNUMBER(B15),ISNUMBER(C15),C15&lt;&gt;0)</f>
        <v/>
      </c>
      <c r="E15" s="8">
        <f>IFERROR(IF(AND(B15&lt;100000000000,(B15-C15)/ABS(C15)&gt;0.5),0,(B15-C15)/ABS(C15)),NA())</f>
        <v/>
      </c>
      <c r="F15" s="8">
        <f>IFERROR(MIN(4,INT((RANK.AVG(E15,$E$9:$E$178,1)-1)*5/COUNT($E$9:$E$178))),NA())</f>
        <v/>
      </c>
    </row>
    <row r="16">
      <c r="A16" s="6" t="inlineStr">
        <is>
          <t>A000270</t>
        </is>
      </c>
      <c r="B16" s="6" t="n">
        <v>10446500000000</v>
      </c>
      <c r="C16" s="6" t="n">
        <v>10502400000000</v>
      </c>
      <c r="D16" s="8">
        <f>AND(ISNUMBER(B16),ISNUMBER(C16),C16&lt;&gt;0)</f>
        <v/>
      </c>
      <c r="E16" s="8">
        <f>IFERROR(IF(AND(B16&lt;100000000000,(B16-C16)/ABS(C16)&gt;0.5),0,(B16-C16)/ABS(C16)),NA())</f>
        <v/>
      </c>
      <c r="F16" s="8">
        <f>IFERROR(MIN(4,INT((RANK.AVG(E16,$E$9:$E$178,1)-1)*5/COUNT($E$9:$E$178))),NA())</f>
        <v/>
      </c>
    </row>
    <row r="17">
      <c r="A17" s="6" t="inlineStr">
        <is>
          <t>A329180</t>
        </is>
      </c>
      <c r="B17" s="6" t="n">
        <v>3701260000000</v>
      </c>
      <c r="C17" s="6" t="n">
        <v>3680210000000</v>
      </c>
      <c r="D17" s="8">
        <f>AND(ISNUMBER(B17),ISNUMBER(C17),C17&lt;&gt;0)</f>
        <v/>
      </c>
      <c r="E17" s="8">
        <f>IFERROR(IF(AND(B17&lt;100000000000,(B17-C17)/ABS(C17)&gt;0.5),0,(B17-C17)/ABS(C17)),NA())</f>
        <v/>
      </c>
      <c r="F17" s="8">
        <f>IFERROR(MIN(4,INT((RANK.AVG(E17,$E$9:$E$178,1)-1)*5/COUNT($E$9:$E$178))),NA())</f>
        <v/>
      </c>
    </row>
    <row r="18">
      <c r="A18" s="6" t="inlineStr">
        <is>
          <t>A068270</t>
        </is>
      </c>
      <c r="B18" s="6" t="n">
        <v>1850400000000</v>
      </c>
      <c r="C18" s="6" t="n">
        <v>1783960000000</v>
      </c>
      <c r="D18" s="8">
        <f>AND(ISNUMBER(B18),ISNUMBER(C18),C18&lt;&gt;0)</f>
        <v/>
      </c>
      <c r="E18" s="8">
        <f>IFERROR(IF(AND(B18&lt;100000000000,(B18-C18)/ABS(C18)&gt;0.5),0,(B18-C18)/ABS(C18)),NA())</f>
        <v/>
      </c>
      <c r="F18" s="8">
        <f>IFERROR(MIN(4,INT((RANK.AVG(E18,$E$9:$E$178,1)-1)*5/COUNT($E$9:$E$178))),NA())</f>
        <v/>
      </c>
    </row>
    <row r="19">
      <c r="A19" s="6" t="inlineStr">
        <is>
          <t>A034020</t>
        </is>
      </c>
      <c r="B19" s="6" t="n">
        <v>1277940000000</v>
      </c>
      <c r="C19" s="6" t="n">
        <v>1219540000000</v>
      </c>
      <c r="D19" s="8">
        <f>AND(ISNUMBER(B19),ISNUMBER(C19),C19&lt;&gt;0)</f>
        <v/>
      </c>
      <c r="E19" s="8">
        <f>IFERROR(IF(AND(B19&lt;100000000000,(B19-C19)/ABS(C19)&gt;0.5),0,(B19-C19)/ABS(C19)),NA())</f>
        <v/>
      </c>
      <c r="F19" s="8">
        <f>IFERROR(MIN(4,INT((RANK.AVG(E19,$E$9:$E$178,1)-1)*5/COUNT($E$9:$E$178))),NA())</f>
        <v/>
      </c>
    </row>
    <row r="20">
      <c r="A20" s="6" t="inlineStr">
        <is>
          <t>A035420</t>
        </is>
      </c>
      <c r="B20" s="6" t="n">
        <v>2574280000000</v>
      </c>
      <c r="C20" s="6" t="n">
        <v>2617790000000</v>
      </c>
      <c r="D20" s="8">
        <f>AND(ISNUMBER(B20),ISNUMBER(C20),C20&lt;&gt;0)</f>
        <v/>
      </c>
      <c r="E20" s="8">
        <f>IFERROR(IF(AND(B20&lt;100000000000,(B20-C20)/ABS(C20)&gt;0.5),0,(B20-C20)/ABS(C20)),NA())</f>
        <v/>
      </c>
      <c r="F20" s="8">
        <f>IFERROR(MIN(4,INT((RANK.AVG(E20,$E$9:$E$178,1)-1)*5/COUNT($E$9:$E$178))),NA())</f>
        <v/>
      </c>
    </row>
    <row r="21">
      <c r="A21" s="6" t="inlineStr">
        <is>
          <t>A055550</t>
        </is>
      </c>
      <c r="B21" s="6" t="n">
        <v>7718780000000</v>
      </c>
      <c r="C21" s="6" t="n">
        <v>7589670000000</v>
      </c>
      <c r="D21" s="8">
        <f>AND(ISNUMBER(B21),ISNUMBER(C21),C21&lt;&gt;0)</f>
        <v/>
      </c>
      <c r="E21" s="8">
        <f>IFERROR(IF(AND(B21&lt;100000000000,(B21-C21)/ABS(C21)&gt;0.5),0,(B21-C21)/ABS(C21)),NA())</f>
        <v/>
      </c>
      <c r="F21" s="8">
        <f>IFERROR(MIN(4,INT((RANK.AVG(E21,$E$9:$E$178,1)-1)*5/COUNT($E$9:$E$178))),NA())</f>
        <v/>
      </c>
    </row>
    <row r="22">
      <c r="A22" s="6" t="inlineStr">
        <is>
          <t>A028260</t>
        </is>
      </c>
      <c r="B22" s="6" t="n">
        <v>3848930000000</v>
      </c>
      <c r="C22" s="6" t="n">
        <v>4018850000000</v>
      </c>
      <c r="D22" s="8">
        <f>AND(ISNUMBER(B22),ISNUMBER(C22),C22&lt;&gt;0)</f>
        <v/>
      </c>
      <c r="E22" s="8">
        <f>IFERROR(IF(AND(B22&lt;100000000000,(B22-C22)/ABS(C22)&gt;0.5),0,(B22-C22)/ABS(C22)),NA())</f>
        <v/>
      </c>
      <c r="F22" s="8">
        <f>IFERROR(MIN(4,INT((RANK.AVG(E22,$E$9:$E$178,1)-1)*5/COUNT($E$9:$E$178))),NA())</f>
        <v/>
      </c>
    </row>
    <row r="23">
      <c r="A23" s="6" t="inlineStr">
        <is>
          <t>A012330</t>
        </is>
      </c>
      <c r="B23" s="6" t="n">
        <v>3887290000000</v>
      </c>
      <c r="C23" s="6" t="n">
        <v>3950090000000</v>
      </c>
      <c r="D23" s="8">
        <f>AND(ISNUMBER(B23),ISNUMBER(C23),C23&lt;&gt;0)</f>
        <v/>
      </c>
      <c r="E23" s="8">
        <f>IFERROR(IF(AND(B23&lt;100000000000,(B23-C23)/ABS(C23)&gt;0.5),0,(B23-C23)/ABS(C23)),NA())</f>
        <v/>
      </c>
      <c r="F23" s="8">
        <f>IFERROR(MIN(4,INT((RANK.AVG(E23,$E$9:$E$178,1)-1)*5/COUNT($E$9:$E$178))),NA())</f>
        <v/>
      </c>
    </row>
    <row r="24">
      <c r="A24" s="6" t="inlineStr">
        <is>
          <t>A032830</t>
        </is>
      </c>
      <c r="B24" s="6" t="n">
        <v>3067840000000</v>
      </c>
      <c r="C24" s="6" t="n">
        <v>2927390000000</v>
      </c>
      <c r="D24" s="8">
        <f>AND(ISNUMBER(B24),ISNUMBER(C24),C24&lt;&gt;0)</f>
        <v/>
      </c>
      <c r="E24" s="8">
        <f>IFERROR(IF(AND(B24&lt;100000000000,(B24-C24)/ABS(C24)&gt;0.5),0,(B24-C24)/ABS(C24)),NA())</f>
        <v/>
      </c>
      <c r="F24" s="8">
        <f>IFERROR(MIN(4,INT((RANK.AVG(E24,$E$9:$E$178,1)-1)*5/COUNT($E$9:$E$178))),NA())</f>
        <v/>
      </c>
    </row>
    <row r="25">
      <c r="A25" s="6" t="inlineStr">
        <is>
          <t>A042660</t>
        </is>
      </c>
      <c r="B25" s="6" t="n">
        <v>1934140000000</v>
      </c>
      <c r="C25" s="6" t="n">
        <v>1824060000000</v>
      </c>
      <c r="D25" s="8">
        <f>AND(ISNUMBER(B25),ISNUMBER(C25),C25&lt;&gt;0)</f>
        <v/>
      </c>
      <c r="E25" s="8">
        <f>IFERROR(IF(AND(B25&lt;100000000000,(B25-C25)/ABS(C25)&gt;0.5),0,(B25-C25)/ABS(C25)),NA())</f>
        <v/>
      </c>
      <c r="F25" s="8">
        <f>IFERROR(MIN(4,INT((RANK.AVG(E25,$E$9:$E$178,1)-1)*5/COUNT($E$9:$E$178))),NA())</f>
        <v/>
      </c>
    </row>
    <row r="26">
      <c r="A26" s="6" t="inlineStr">
        <is>
          <t>A009540</t>
        </is>
      </c>
      <c r="B26" s="6" t="n">
        <v>5747380000000</v>
      </c>
      <c r="C26" s="6" t="n">
        <v>5703520000000</v>
      </c>
      <c r="D26" s="8">
        <f>AND(ISNUMBER(B26),ISNUMBER(C26),C26&lt;&gt;0)</f>
        <v/>
      </c>
      <c r="E26" s="8">
        <f>IFERROR(IF(AND(B26&lt;100000000000,(B26-C26)/ABS(C26)&gt;0.5),0,(B26-C26)/ABS(C26)),NA())</f>
        <v/>
      </c>
      <c r="F26" s="8">
        <f>IFERROR(MIN(4,INT((RANK.AVG(E26,$E$9:$E$178,1)-1)*5/COUNT($E$9:$E$178))),NA())</f>
        <v/>
      </c>
    </row>
    <row r="27">
      <c r="A27" s="6" t="inlineStr">
        <is>
          <t>A011200</t>
        </is>
      </c>
      <c r="B27" s="6" t="n">
        <v>905392000000</v>
      </c>
      <c r="C27" s="6" t="n">
        <v>901975000000</v>
      </c>
      <c r="D27" s="8">
        <f>AND(ISNUMBER(B27),ISNUMBER(C27),C27&lt;&gt;0)</f>
        <v/>
      </c>
      <c r="E27" s="8">
        <f>IFERROR(IF(AND(B27&lt;100000000000,(B27-C27)/ABS(C27)&gt;0.5),0,(B27-C27)/ABS(C27)),NA())</f>
        <v/>
      </c>
      <c r="F27" s="8">
        <f>IFERROR(MIN(4,INT((RANK.AVG(E27,$E$9:$E$178,1)-1)*5/COUNT($E$9:$E$178))),NA())</f>
        <v/>
      </c>
    </row>
    <row r="28">
      <c r="A28" s="6" t="inlineStr">
        <is>
          <t>A035720</t>
        </is>
      </c>
      <c r="B28" s="6" t="n">
        <v>980271000000</v>
      </c>
      <c r="C28" s="6" t="n">
        <v>951393000000</v>
      </c>
      <c r="D28" s="8">
        <f>AND(ISNUMBER(B28),ISNUMBER(C28),C28&lt;&gt;0)</f>
        <v/>
      </c>
      <c r="E28" s="8">
        <f>IFERROR(IF(AND(B28&lt;100000000000,(B28-C28)/ABS(C28)&gt;0.5),0,(B28-C28)/ABS(C28)),NA())</f>
        <v/>
      </c>
      <c r="F28" s="8">
        <f>IFERROR(MIN(4,INT((RANK.AVG(E28,$E$9:$E$178,1)-1)*5/COUNT($E$9:$E$178))),NA())</f>
        <v/>
      </c>
    </row>
    <row r="29">
      <c r="A29" s="6" t="inlineStr">
        <is>
          <t>A086790</t>
        </is>
      </c>
      <c r="B29" s="6" t="n">
        <v>6083860000000</v>
      </c>
      <c r="C29" s="6" t="n">
        <v>5849920000000</v>
      </c>
      <c r="D29" s="8">
        <f>AND(ISNUMBER(B29),ISNUMBER(C29),C29&lt;&gt;0)</f>
        <v/>
      </c>
      <c r="E29" s="8">
        <f>IFERROR(IF(AND(B29&lt;100000000000,(B29-C29)/ABS(C29)&gt;0.5),0,(B29-C29)/ABS(C29)),NA())</f>
        <v/>
      </c>
      <c r="F29" s="8">
        <f>IFERROR(MIN(4,INT((RANK.AVG(E29,$E$9:$E$178,1)-1)*5/COUNT($E$9:$E$178))),NA())</f>
        <v/>
      </c>
    </row>
    <row r="30">
      <c r="A30" s="6" t="inlineStr">
        <is>
          <t>A005490</t>
        </is>
      </c>
      <c r="B30" s="6" t="n">
        <v>3368190000000</v>
      </c>
      <c r="C30" s="6" t="n">
        <v>3382340000000</v>
      </c>
      <c r="D30" s="8">
        <f>AND(ISNUMBER(B30),ISNUMBER(C30),C30&lt;&gt;0)</f>
        <v/>
      </c>
      <c r="E30" s="8">
        <f>IFERROR(IF(AND(B30&lt;100000000000,(B30-C30)/ABS(C30)&gt;0.5),0,(B30-C30)/ABS(C30)),NA())</f>
        <v/>
      </c>
      <c r="F30" s="8">
        <f>IFERROR(MIN(4,INT((RANK.AVG(E30,$E$9:$E$178,1)-1)*5/COUNT($E$9:$E$178))),NA())</f>
        <v/>
      </c>
    </row>
    <row r="31">
      <c r="A31" s="6" t="inlineStr">
        <is>
          <t>A138040</t>
        </is>
      </c>
      <c r="B31" s="6" t="n">
        <v>3345420000000</v>
      </c>
      <c r="C31" s="6" t="n">
        <v>3309440000000</v>
      </c>
      <c r="D31" s="8">
        <f>AND(ISNUMBER(B31),ISNUMBER(C31),C31&lt;&gt;0)</f>
        <v/>
      </c>
      <c r="E31" s="8">
        <f>IFERROR(IF(AND(B31&lt;100000000000,(B31-C31)/ABS(C31)&gt;0.5),0,(B31-C31)/ABS(C31)),NA())</f>
        <v/>
      </c>
      <c r="F31" s="8">
        <f>IFERROR(MIN(4,INT((RANK.AVG(E31,$E$9:$E$178,1)-1)*5/COUNT($E$9:$E$178))),NA())</f>
        <v/>
      </c>
    </row>
    <row r="32">
      <c r="A32" s="6" t="inlineStr">
        <is>
          <t>A000810</t>
        </is>
      </c>
      <c r="B32" s="6" t="n">
        <v>2987950000000</v>
      </c>
      <c r="C32" s="6" t="n">
        <v>2949450000000</v>
      </c>
      <c r="D32" s="8">
        <f>AND(ISNUMBER(B32),ISNUMBER(C32),C32&lt;&gt;0)</f>
        <v/>
      </c>
      <c r="E32" s="8">
        <f>IFERROR(IF(AND(B32&lt;100000000000,(B32-C32)/ABS(C32)&gt;0.5),0,(B32-C32)/ABS(C32)),NA())</f>
        <v/>
      </c>
      <c r="F32" s="8">
        <f>IFERROR(MIN(4,INT((RANK.AVG(E32,$E$9:$E$178,1)-1)*5/COUNT($E$9:$E$178))),NA())</f>
        <v/>
      </c>
    </row>
    <row r="33">
      <c r="A33" s="6" t="inlineStr">
        <is>
          <t>A064350</t>
        </is>
      </c>
      <c r="B33" s="6" t="n">
        <v>1320760000000</v>
      </c>
      <c r="C33" s="6" t="n">
        <v>1363200000000</v>
      </c>
      <c r="D33" s="8">
        <f>AND(ISNUMBER(B33),ISNUMBER(C33),C33&lt;&gt;0)</f>
        <v/>
      </c>
      <c r="E33" s="8">
        <f>IFERROR(IF(AND(B33&lt;100000000000,(B33-C33)/ABS(C33)&gt;0.5),0,(B33-C33)/ABS(C33)),NA())</f>
        <v/>
      </c>
      <c r="F33" s="8">
        <f>IFERROR(MIN(4,INT((RANK.AVG(E33,$E$9:$E$178,1)-1)*5/COUNT($E$9:$E$178))),NA())</f>
        <v/>
      </c>
    </row>
    <row r="34">
      <c r="A34" s="6" t="inlineStr">
        <is>
          <t>A402340</t>
        </is>
      </c>
      <c r="B34" s="6" t="n">
        <v>33384400000000</v>
      </c>
      <c r="C34" s="6" t="n">
        <v>27002000000000</v>
      </c>
      <c r="D34" s="8">
        <f>AND(ISNUMBER(B34),ISNUMBER(C34),C34&lt;&gt;0)</f>
        <v/>
      </c>
      <c r="E34" s="8">
        <f>IFERROR(IF(AND(B34&lt;100000000000,(B34-C34)/ABS(C34)&gt;0.5),0,(B34-C34)/ABS(C34)),NA())</f>
        <v/>
      </c>
      <c r="F34" s="8">
        <f>IFERROR(MIN(4,INT((RANK.AVG(E34,$E$9:$E$178,1)-1)*5/COUNT($E$9:$E$178))),NA())</f>
        <v/>
      </c>
    </row>
    <row r="35">
      <c r="A35" s="6" t="inlineStr">
        <is>
          <t>A015760</t>
        </is>
      </c>
      <c r="B35" s="6" t="n">
        <v>14346900000000</v>
      </c>
      <c r="C35" s="6" t="n">
        <v>17916100000000</v>
      </c>
      <c r="D35" s="8">
        <f>AND(ISNUMBER(B35),ISNUMBER(C35),C35&lt;&gt;0)</f>
        <v/>
      </c>
      <c r="E35" s="8">
        <f>IFERROR(IF(AND(B35&lt;100000000000,(B35-C35)/ABS(C35)&gt;0.5),0,(B35-C35)/ABS(C35)),NA())</f>
        <v/>
      </c>
      <c r="F35" s="8">
        <f>IFERROR(MIN(4,INT((RANK.AVG(E35,$E$9:$E$178,1)-1)*5/COUNT($E$9:$E$178))),NA())</f>
        <v/>
      </c>
    </row>
    <row r="36">
      <c r="A36" s="6" t="inlineStr">
        <is>
          <t>A259960</t>
        </is>
      </c>
      <c r="B36" s="6" t="n">
        <v>1318010000000</v>
      </c>
      <c r="C36" s="6" t="n">
        <v>1309580000000</v>
      </c>
      <c r="D36" s="8">
        <f>AND(ISNUMBER(B36),ISNUMBER(C36),C36&lt;&gt;0)</f>
        <v/>
      </c>
      <c r="E36" s="8">
        <f>IFERROR(IF(AND(B36&lt;100000000000,(B36-C36)/ABS(C36)&gt;0.5),0,(B36-C36)/ABS(C36)),NA())</f>
        <v/>
      </c>
      <c r="F36" s="8">
        <f>IFERROR(MIN(4,INT((RANK.AVG(E36,$E$9:$E$178,1)-1)*5/COUNT($E$9:$E$178))),NA())</f>
        <v/>
      </c>
    </row>
    <row r="37">
      <c r="A37" s="6" t="inlineStr">
        <is>
          <t>A010130</t>
        </is>
      </c>
      <c r="B37" s="6" t="n">
        <v>2067530000000</v>
      </c>
      <c r="C37" s="6" t="n">
        <v>1905010000000</v>
      </c>
      <c r="D37" s="8">
        <f>AND(ISNUMBER(B37),ISNUMBER(C37),C37&lt;&gt;0)</f>
        <v/>
      </c>
      <c r="E37" s="8">
        <f>IFERROR(IF(AND(B37&lt;100000000000,(B37-C37)/ABS(C37)&gt;0.5),0,(B37-C37)/ABS(C37)),NA())</f>
        <v/>
      </c>
      <c r="F37" s="8">
        <f>IFERROR(MIN(4,INT((RANK.AVG(E37,$E$9:$E$178,1)-1)*5/COUNT($E$9:$E$178))),NA())</f>
        <v/>
      </c>
    </row>
    <row r="38">
      <c r="A38" s="6" t="inlineStr">
        <is>
          <t>A010140</t>
        </is>
      </c>
      <c r="B38" s="6" t="n">
        <v>1709560000000</v>
      </c>
      <c r="C38" s="6" t="n">
        <v>1679350000000</v>
      </c>
      <c r="D38" s="8">
        <f>AND(ISNUMBER(B38),ISNUMBER(C38),C38&lt;&gt;0)</f>
        <v/>
      </c>
      <c r="E38" s="8">
        <f>IFERROR(IF(AND(B38&lt;100000000000,(B38-C38)/ABS(C38)&gt;0.5),0,(B38-C38)/ABS(C38)),NA())</f>
        <v/>
      </c>
      <c r="F38" s="8">
        <f>IFERROR(MIN(4,INT((RANK.AVG(E38,$E$9:$E$178,1)-1)*5/COUNT($E$9:$E$178))),NA())</f>
        <v/>
      </c>
    </row>
    <row r="39">
      <c r="A39" s="6" t="inlineStr">
        <is>
          <t>A316140</t>
        </is>
      </c>
      <c r="B39" s="6" t="n">
        <v>4495770000000</v>
      </c>
      <c r="C39" s="6" t="n">
        <v>4648640000000</v>
      </c>
      <c r="D39" s="8">
        <f>AND(ISNUMBER(B39),ISNUMBER(C39),C39&lt;&gt;0)</f>
        <v/>
      </c>
      <c r="E39" s="8">
        <f>IFERROR(IF(AND(B39&lt;100000000000,(B39-C39)/ABS(C39)&gt;0.5),0,(B39-C39)/ABS(C39)),NA())</f>
        <v/>
      </c>
      <c r="F39" s="8">
        <f>IFERROR(MIN(4,INT((RANK.AVG(E39,$E$9:$E$178,1)-1)*5/COUNT($E$9:$E$178))),NA())</f>
        <v/>
      </c>
    </row>
    <row r="40">
      <c r="A40" s="6" t="inlineStr">
        <is>
          <t>A267260</t>
        </is>
      </c>
      <c r="B40" s="6" t="n">
        <v>1352490000000</v>
      </c>
      <c r="C40" s="6" t="n">
        <v>1339020000000</v>
      </c>
      <c r="D40" s="8">
        <f>AND(ISNUMBER(B40),ISNUMBER(C40),C40&lt;&gt;0)</f>
        <v/>
      </c>
      <c r="E40" s="8">
        <f>IFERROR(IF(AND(B40&lt;100000000000,(B40-C40)/ABS(C40)&gt;0.5),0,(B40-C40)/ABS(C40)),NA())</f>
        <v/>
      </c>
      <c r="F40" s="8">
        <f>IFERROR(MIN(4,INT((RANK.AVG(E40,$E$9:$E$178,1)-1)*5/COUNT($E$9:$E$178))),NA())</f>
        <v/>
      </c>
    </row>
    <row r="41">
      <c r="A41" s="6" t="inlineStr">
        <is>
          <t>A033780</t>
        </is>
      </c>
      <c r="B41" s="6" t="n">
        <v>1525700000000</v>
      </c>
      <c r="C41" s="6" t="n">
        <v>1501520000000</v>
      </c>
      <c r="D41" s="8">
        <f>AND(ISNUMBER(B41),ISNUMBER(C41),C41&lt;&gt;0)</f>
        <v/>
      </c>
      <c r="E41" s="8">
        <f>IFERROR(IF(AND(B41&lt;100000000000,(B41-C41)/ABS(C41)&gt;0.5),0,(B41-C41)/ABS(C41)),NA())</f>
        <v/>
      </c>
      <c r="F41" s="8">
        <f>IFERROR(MIN(4,INT((RANK.AVG(E41,$E$9:$E$178,1)-1)*5/COUNT($E$9:$E$178))),NA())</f>
        <v/>
      </c>
    </row>
    <row r="42">
      <c r="A42" s="6" t="inlineStr">
        <is>
          <t>A051910</t>
        </is>
      </c>
      <c r="B42" s="6" t="n">
        <v>1934460000000</v>
      </c>
      <c r="C42" s="6" t="n">
        <v>2011380000000</v>
      </c>
      <c r="D42" s="8">
        <f>AND(ISNUMBER(B42),ISNUMBER(C42),C42&lt;&gt;0)</f>
        <v/>
      </c>
      <c r="E42" s="8">
        <f>IFERROR(IF(AND(B42&lt;100000000000,(B42-C42)/ABS(C42)&gt;0.5),0,(B42-C42)/ABS(C42)),NA())</f>
        <v/>
      </c>
      <c r="F42" s="8">
        <f>IFERROR(MIN(4,INT((RANK.AVG(E42,$E$9:$E$178,1)-1)*5/COUNT($E$9:$E$178))),NA())</f>
        <v/>
      </c>
    </row>
    <row r="43">
      <c r="A43" s="6" t="inlineStr">
        <is>
          <t>A096770</t>
        </is>
      </c>
      <c r="B43" s="6" t="n">
        <v>3899790000000</v>
      </c>
      <c r="C43" s="6" t="n">
        <v>2093770000000</v>
      </c>
      <c r="D43" s="8">
        <f>AND(ISNUMBER(B43),ISNUMBER(C43),C43&lt;&gt;0)</f>
        <v/>
      </c>
      <c r="E43" s="8">
        <f>IFERROR(IF(AND(B43&lt;100000000000,(B43-C43)/ABS(C43)&gt;0.5),0,(B43-C43)/ABS(C43)),NA())</f>
        <v/>
      </c>
      <c r="F43" s="8">
        <f>IFERROR(MIN(4,INT((RANK.AVG(E43,$E$9:$E$178,1)-1)*5/COUNT($E$9:$E$178))),NA())</f>
        <v/>
      </c>
    </row>
    <row r="44">
      <c r="A44" s="6" t="inlineStr">
        <is>
          <t>A034730</t>
        </is>
      </c>
      <c r="B44" s="6" t="n">
        <v>5540530000000</v>
      </c>
      <c r="C44" s="6" t="n">
        <v>5284050000000</v>
      </c>
      <c r="D44" s="8">
        <f>AND(ISNUMBER(B44),ISNUMBER(C44),C44&lt;&gt;0)</f>
        <v/>
      </c>
      <c r="E44" s="8">
        <f>IFERROR(IF(AND(B44&lt;100000000000,(B44-C44)/ABS(C44)&gt;0.5),0,(B44-C44)/ABS(C44)),NA())</f>
        <v/>
      </c>
      <c r="F44" s="8">
        <f>IFERROR(MIN(4,INT((RANK.AVG(E44,$E$9:$E$178,1)-1)*5/COUNT($E$9:$E$178))),NA())</f>
        <v/>
      </c>
    </row>
    <row r="45">
      <c r="A45" s="6" t="inlineStr">
        <is>
          <t>A323410</t>
        </is>
      </c>
      <c r="B45" s="6" t="n">
        <v>756546000000</v>
      </c>
      <c r="C45" s="6" t="n">
        <v>746525000000</v>
      </c>
      <c r="D45" s="8">
        <f>AND(ISNUMBER(B45),ISNUMBER(C45),C45&lt;&gt;0)</f>
        <v/>
      </c>
      <c r="E45" s="8">
        <f>IFERROR(IF(AND(B45&lt;100000000000,(B45-C45)/ABS(C45)&gt;0.5),0,(B45-C45)/ABS(C45)),NA())</f>
        <v/>
      </c>
      <c r="F45" s="8">
        <f>IFERROR(MIN(4,INT((RANK.AVG(E45,$E$9:$E$178,1)-1)*5/COUNT($E$9:$E$178))),NA())</f>
        <v/>
      </c>
    </row>
    <row r="46">
      <c r="A46" s="6" t="inlineStr">
        <is>
          <t>A024110</t>
        </is>
      </c>
      <c r="B46" s="6" t="n">
        <v>3821830000000</v>
      </c>
      <c r="C46" s="6" t="n">
        <v>3880190000000</v>
      </c>
      <c r="D46" s="8">
        <f>AND(ISNUMBER(B46),ISNUMBER(C46),C46&lt;&gt;0)</f>
        <v/>
      </c>
      <c r="E46" s="8">
        <f>IFERROR(IF(AND(B46&lt;100000000000,(B46-C46)/ABS(C46)&gt;0.5),0,(B46-C46)/ABS(C46)),NA())</f>
        <v/>
      </c>
      <c r="F46" s="8">
        <f>IFERROR(MIN(4,INT((RANK.AVG(E46,$E$9:$E$178,1)-1)*5/COUNT($E$9:$E$178))),NA())</f>
        <v/>
      </c>
    </row>
    <row r="47">
      <c r="A47" s="6" t="inlineStr">
        <is>
          <t>A030200</t>
        </is>
      </c>
      <c r="B47" s="6" t="n">
        <v>2181720000000</v>
      </c>
      <c r="C47" s="6" t="n">
        <v>2222210000000</v>
      </c>
      <c r="D47" s="8">
        <f>AND(ISNUMBER(B47),ISNUMBER(C47),C47&lt;&gt;0)</f>
        <v/>
      </c>
      <c r="E47" s="8">
        <f>IFERROR(IF(AND(B47&lt;100000000000,(B47-C47)/ABS(C47)&gt;0.5),0,(B47-C47)/ABS(C47)),NA())</f>
        <v/>
      </c>
      <c r="F47" s="8">
        <f>IFERROR(MIN(4,INT((RANK.AVG(E47,$E$9:$E$178,1)-1)*5/COUNT($E$9:$E$178))),NA())</f>
        <v/>
      </c>
    </row>
    <row r="48">
      <c r="A48" s="6" t="inlineStr">
        <is>
          <t>A352820</t>
        </is>
      </c>
      <c r="B48" s="6" t="n">
        <v>362406000000</v>
      </c>
      <c r="C48" s="6" t="n">
        <v>545315000000</v>
      </c>
      <c r="D48" s="8">
        <f>AND(ISNUMBER(B48),ISNUMBER(C48),C48&lt;&gt;0)</f>
        <v/>
      </c>
      <c r="E48" s="8">
        <f>IFERROR(IF(AND(B48&lt;100000000000,(B48-C48)/ABS(C48)&gt;0.5),0,(B48-C48)/ABS(C48)),NA())</f>
        <v/>
      </c>
      <c r="F48" s="8">
        <f>IFERROR(MIN(4,INT((RANK.AVG(E48,$E$9:$E$178,1)-1)*5/COUNT($E$9:$E$178))),NA())</f>
        <v/>
      </c>
    </row>
    <row r="49">
      <c r="A49" s="6" t="inlineStr">
        <is>
          <t>A066570</t>
        </is>
      </c>
      <c r="B49" s="6" t="n">
        <v>3933900000000</v>
      </c>
      <c r="C49" s="6" t="n">
        <v>3565330000000</v>
      </c>
      <c r="D49" s="8">
        <f>AND(ISNUMBER(B49),ISNUMBER(C49),C49&lt;&gt;0)</f>
        <v/>
      </c>
      <c r="E49" s="8">
        <f>IFERROR(IF(AND(B49&lt;100000000000,(B49-C49)/ABS(C49)&gt;0.5),0,(B49-C49)/ABS(C49)),NA())</f>
        <v/>
      </c>
      <c r="F49" s="8">
        <f>IFERROR(MIN(4,INT((RANK.AVG(E49,$E$9:$E$178,1)-1)*5/COUNT($E$9:$E$178))),NA())</f>
        <v/>
      </c>
    </row>
    <row r="50">
      <c r="A50" s="6" t="inlineStr">
        <is>
          <t>A006400</t>
        </is>
      </c>
      <c r="B50" s="6" t="n">
        <v>392876000000</v>
      </c>
      <c r="C50" s="6" t="n">
        <v>-39036904762</v>
      </c>
      <c r="D50" s="8">
        <f>AND(ISNUMBER(B50),ISNUMBER(C50),C50&lt;&gt;0)</f>
        <v/>
      </c>
      <c r="E50" s="8">
        <f>IFERROR(IF(AND(B50&lt;100000000000,(B50-C50)/ABS(C50)&gt;0.5),0,(B50-C50)/ABS(C50)),NA())</f>
        <v/>
      </c>
      <c r="F50" s="8">
        <f>IFERROR(MIN(4,INT((RANK.AVG(E50,$E$9:$E$178,1)-1)*5/COUNT($E$9:$E$178))),NA())</f>
        <v/>
      </c>
    </row>
    <row r="51">
      <c r="A51" s="6" t="inlineStr">
        <is>
          <t>A003550</t>
        </is>
      </c>
      <c r="B51" s="6" t="n">
        <v>1854940000000</v>
      </c>
      <c r="C51" s="6" t="n">
        <v>1886540000000</v>
      </c>
      <c r="D51" s="8">
        <f>AND(ISNUMBER(B51),ISNUMBER(C51),C51&lt;&gt;0)</f>
        <v/>
      </c>
      <c r="E51" s="8">
        <f>IFERROR(IF(AND(B51&lt;100000000000,(B51-C51)/ABS(C51)&gt;0.5),0,(B51-C51)/ABS(C51)),NA())</f>
        <v/>
      </c>
      <c r="F51" s="8">
        <f>IFERROR(MIN(4,INT((RANK.AVG(E51,$E$9:$E$178,1)-1)*5/COUNT($E$9:$E$178))),NA())</f>
        <v/>
      </c>
    </row>
    <row r="52">
      <c r="A52" s="6" t="inlineStr">
        <is>
          <t>A017670</t>
        </is>
      </c>
      <c r="B52" s="6" t="n">
        <v>1935880000000</v>
      </c>
      <c r="C52" s="6" t="n">
        <v>1892350000000</v>
      </c>
      <c r="D52" s="8">
        <f>AND(ISNUMBER(B52),ISNUMBER(C52),C52&lt;&gt;0)</f>
        <v/>
      </c>
      <c r="E52" s="8">
        <f>IFERROR(IF(AND(B52&lt;100000000000,(B52-C52)/ABS(C52)&gt;0.5),0,(B52-C52)/ABS(C52)),NA())</f>
        <v/>
      </c>
      <c r="F52" s="8">
        <f>IFERROR(MIN(4,INT((RANK.AVG(E52,$E$9:$E$178,1)-1)*5/COUNT($E$9:$E$178))),NA())</f>
        <v/>
      </c>
    </row>
    <row r="53">
      <c r="A53" s="6" t="inlineStr">
        <is>
          <t>A006800</t>
        </is>
      </c>
      <c r="B53" s="6" t="n">
        <v>2921680000000</v>
      </c>
      <c r="C53" s="6" t="n">
        <v>2700650000000</v>
      </c>
      <c r="D53" s="8">
        <f>AND(ISNUMBER(B53),ISNUMBER(C53),C53&lt;&gt;0)</f>
        <v/>
      </c>
      <c r="E53" s="8">
        <f>IFERROR(IF(AND(B53&lt;100000000000,(B53-C53)/ABS(C53)&gt;0.5),0,(B53-C53)/ABS(C53)),NA())</f>
        <v/>
      </c>
      <c r="F53" s="8">
        <f>IFERROR(MIN(4,INT((RANK.AVG(E53,$E$9:$E$178,1)-1)*5/COUNT($E$9:$E$178))),NA())</f>
        <v/>
      </c>
    </row>
    <row r="54">
      <c r="A54" s="6" t="inlineStr">
        <is>
          <t>A018260</t>
        </is>
      </c>
      <c r="B54" s="6" t="n">
        <v>905896000000</v>
      </c>
      <c r="C54" s="6" t="n">
        <v>1045290000000</v>
      </c>
      <c r="D54" s="8">
        <f>AND(ISNUMBER(B54),ISNUMBER(C54),C54&lt;&gt;0)</f>
        <v/>
      </c>
      <c r="E54" s="8">
        <f>IFERROR(IF(AND(B54&lt;100000000000,(B54-C54)/ABS(C54)&gt;0.5),0,(B54-C54)/ABS(C54)),NA())</f>
        <v/>
      </c>
      <c r="F54" s="8">
        <f>IFERROR(MIN(4,INT((RANK.AVG(E54,$E$9:$E$178,1)-1)*5/COUNT($E$9:$E$178))),NA())</f>
        <v/>
      </c>
    </row>
    <row r="55">
      <c r="A55" s="6" t="inlineStr">
        <is>
          <t>A267250</t>
        </is>
      </c>
      <c r="B55" s="6" t="n">
        <v>8651750000000</v>
      </c>
      <c r="C55" s="6" t="n">
        <v>8460100000000</v>
      </c>
      <c r="D55" s="8">
        <f>AND(ISNUMBER(B55),ISNUMBER(C55),C55&lt;&gt;0)</f>
        <v/>
      </c>
      <c r="E55" s="8">
        <f>IFERROR(IF(AND(B55&lt;100000000000,(B55-C55)/ABS(C55)&gt;0.5),0,(B55-C55)/ABS(C55)),NA())</f>
        <v/>
      </c>
      <c r="F55" s="8">
        <f>IFERROR(MIN(4,INT((RANK.AVG(E55,$E$9:$E$178,1)-1)*5/COUNT($E$9:$E$178))),NA())</f>
        <v/>
      </c>
    </row>
    <row r="56">
      <c r="A56" s="6" t="inlineStr">
        <is>
          <t>A079550</t>
        </is>
      </c>
      <c r="B56" s="6" t="n">
        <v>497576000000</v>
      </c>
      <c r="C56" s="6" t="n">
        <v>472225000000</v>
      </c>
      <c r="D56" s="8">
        <f>AND(ISNUMBER(B56),ISNUMBER(C56),C56&lt;&gt;0)</f>
        <v/>
      </c>
      <c r="E56" s="8">
        <f>IFERROR(IF(AND(B56&lt;100000000000,(B56-C56)/ABS(C56)&gt;0.5),0,(B56-C56)/ABS(C56)),NA())</f>
        <v/>
      </c>
      <c r="F56" s="8">
        <f>IFERROR(MIN(4,INT((RANK.AVG(E56,$E$9:$E$178,1)-1)*5/COUNT($E$9:$E$178))),NA())</f>
        <v/>
      </c>
    </row>
    <row r="57">
      <c r="A57" s="6" t="inlineStr">
        <is>
          <t>A272210</t>
        </is>
      </c>
      <c r="B57" s="6" t="n">
        <v>358315000000</v>
      </c>
      <c r="C57" s="6" t="n">
        <v>378392000000</v>
      </c>
      <c r="D57" s="8">
        <f>AND(ISNUMBER(B57),ISNUMBER(C57),C57&lt;&gt;0)</f>
        <v/>
      </c>
      <c r="E57" s="8">
        <f>IFERROR(IF(AND(B57&lt;100000000000,(B57-C57)/ABS(C57)&gt;0.5),0,(B57-C57)/ABS(C57)),NA())</f>
        <v/>
      </c>
      <c r="F57" s="8">
        <f>IFERROR(MIN(4,INT((RANK.AVG(E57,$E$9:$E$178,1)-1)*5/COUNT($E$9:$E$178))),NA())</f>
        <v/>
      </c>
    </row>
    <row r="58">
      <c r="A58" s="6" t="inlineStr">
        <is>
          <t>A009150</t>
        </is>
      </c>
      <c r="B58" s="6" t="n">
        <v>1684610000000</v>
      </c>
      <c r="C58" s="6" t="n">
        <v>1486280000000</v>
      </c>
      <c r="D58" s="8">
        <f>AND(ISNUMBER(B58),ISNUMBER(C58),C58&lt;&gt;0)</f>
        <v/>
      </c>
      <c r="E58" s="8">
        <f>IFERROR(IF(AND(B58&lt;100000000000,(B58-C58)/ABS(C58)&gt;0.5),0,(B58-C58)/ABS(C58)),NA())</f>
        <v/>
      </c>
      <c r="F58" s="8">
        <f>IFERROR(MIN(4,INT((RANK.AVG(E58,$E$9:$E$178,1)-1)*5/COUNT($E$9:$E$178))),NA())</f>
        <v/>
      </c>
    </row>
    <row r="59">
      <c r="A59" s="6" t="inlineStr">
        <is>
          <t>A000150</t>
        </is>
      </c>
      <c r="B59" s="6" t="n">
        <v>1889400000000</v>
      </c>
      <c r="C59" s="6" t="n">
        <v>1762680000000</v>
      </c>
      <c r="D59" s="8">
        <f>AND(ISNUMBER(B59),ISNUMBER(C59),C59&lt;&gt;0)</f>
        <v/>
      </c>
      <c r="E59" s="8">
        <f>IFERROR(IF(AND(B59&lt;100000000000,(B59-C59)/ABS(C59)&gt;0.5),0,(B59-C59)/ABS(C59)),NA())</f>
        <v/>
      </c>
      <c r="F59" s="8">
        <f>IFERROR(MIN(4,INT((RANK.AVG(E59,$E$9:$E$178,1)-1)*5/COUNT($E$9:$E$178))),NA())</f>
        <v/>
      </c>
    </row>
    <row r="60">
      <c r="A60" s="6" t="inlineStr">
        <is>
          <t>A003670</t>
        </is>
      </c>
      <c r="B60" s="6" t="n">
        <v>120775000000</v>
      </c>
      <c r="C60" s="6" t="n">
        <v>110189000000</v>
      </c>
      <c r="D60" s="8">
        <f>AND(ISNUMBER(B60),ISNUMBER(C60),C60&lt;&gt;0)</f>
        <v/>
      </c>
      <c r="E60" s="8">
        <f>IFERROR(IF(AND(B60&lt;100000000000,(B60-C60)/ABS(C60)&gt;0.5),0,(B60-C60)/ABS(C60)),NA())</f>
        <v/>
      </c>
      <c r="F60" s="8">
        <f>IFERROR(MIN(4,INT((RANK.AVG(E60,$E$9:$E$178,1)-1)*5/COUNT($E$9:$E$178))),NA())</f>
        <v/>
      </c>
    </row>
    <row r="61">
      <c r="A61" s="6" t="inlineStr">
        <is>
          <t>A086280</t>
        </is>
      </c>
      <c r="B61" s="6" t="n">
        <v>2242310000000</v>
      </c>
      <c r="C61" s="6" t="n">
        <v>2258980000000</v>
      </c>
      <c r="D61" s="8">
        <f>AND(ISNUMBER(B61),ISNUMBER(C61),C61&lt;&gt;0)</f>
        <v/>
      </c>
      <c r="E61" s="8">
        <f>IFERROR(IF(AND(B61&lt;100000000000,(B61-C61)/ABS(C61)&gt;0.5),0,(B61-C61)/ABS(C61)),NA())</f>
        <v/>
      </c>
      <c r="F61" s="8">
        <f>IFERROR(MIN(4,INT((RANK.AVG(E61,$E$9:$E$178,1)-1)*5/COUNT($E$9:$E$178))),NA())</f>
        <v/>
      </c>
    </row>
    <row r="62">
      <c r="A62" s="6" t="inlineStr">
        <is>
          <t>A047050</t>
        </is>
      </c>
      <c r="B62" s="6" t="n">
        <v>1403940000000</v>
      </c>
      <c r="C62" s="6" t="n">
        <v>1383810000000</v>
      </c>
      <c r="D62" s="8">
        <f>AND(ISNUMBER(B62),ISNUMBER(C62),C62&lt;&gt;0)</f>
        <v/>
      </c>
      <c r="E62" s="8">
        <f>IFERROR(IF(AND(B62&lt;100000000000,(B62-C62)/ABS(C62)&gt;0.5),0,(B62-C62)/ABS(C62)),NA())</f>
        <v/>
      </c>
      <c r="F62" s="8">
        <f>IFERROR(MIN(4,INT((RANK.AVG(E62,$E$9:$E$178,1)-1)*5/COUNT($E$9:$E$178))),NA())</f>
        <v/>
      </c>
    </row>
    <row r="63">
      <c r="A63" s="6" t="inlineStr">
        <is>
          <t>A003230</t>
        </is>
      </c>
      <c r="B63" s="6" t="n">
        <v>737891000000</v>
      </c>
      <c r="C63" s="6" t="n">
        <v>727123000000</v>
      </c>
      <c r="D63" s="8">
        <f>AND(ISNUMBER(B63),ISNUMBER(C63),C63&lt;&gt;0)</f>
        <v/>
      </c>
      <c r="E63" s="8">
        <f>IFERROR(IF(AND(B63&lt;100000000000,(B63-C63)/ABS(C63)&gt;0.5),0,(B63-C63)/ABS(C63)),NA())</f>
        <v/>
      </c>
      <c r="F63" s="8">
        <f>IFERROR(MIN(4,INT((RANK.AVG(E63,$E$9:$E$178,1)-1)*5/COUNT($E$9:$E$178))),NA())</f>
        <v/>
      </c>
    </row>
    <row r="64">
      <c r="A64" s="6" t="inlineStr">
        <is>
          <t>A443060</t>
        </is>
      </c>
      <c r="B64" s="6" t="n">
        <v>471979000000</v>
      </c>
      <c r="C64" s="6" t="n">
        <v>474844000000</v>
      </c>
      <c r="D64" s="8">
        <f>AND(ISNUMBER(B64),ISNUMBER(C64),C64&lt;&gt;0)</f>
        <v/>
      </c>
      <c r="E64" s="8">
        <f>IFERROR(IF(AND(B64&lt;100000000000,(B64-C64)/ABS(C64)&gt;0.5),0,(B64-C64)/ABS(C64)),NA())</f>
        <v/>
      </c>
      <c r="F64" s="8">
        <f>IFERROR(MIN(4,INT((RANK.AVG(E64,$E$9:$E$178,1)-1)*5/COUNT($E$9:$E$178))),NA())</f>
        <v/>
      </c>
    </row>
    <row r="65">
      <c r="A65" s="6" t="inlineStr">
        <is>
          <t>A000100</t>
        </is>
      </c>
      <c r="B65" s="6" t="n">
        <v>175269000000</v>
      </c>
      <c r="C65" s="6" t="n">
        <v>173687000000</v>
      </c>
      <c r="D65" s="8">
        <f>AND(ISNUMBER(B65),ISNUMBER(C65),C65&lt;&gt;0)</f>
        <v/>
      </c>
      <c r="E65" s="8">
        <f>IFERROR(IF(AND(B65&lt;100000000000,(B65-C65)/ABS(C65)&gt;0.5),0,(B65-C65)/ABS(C65)),NA())</f>
        <v/>
      </c>
      <c r="F65" s="8">
        <f>IFERROR(MIN(4,INT((RANK.AVG(E65,$E$9:$E$178,1)-1)*5/COUNT($E$9:$E$178))),NA())</f>
        <v/>
      </c>
    </row>
    <row r="66">
      <c r="A66" s="6" t="inlineStr">
        <is>
          <t>A047810</t>
        </is>
      </c>
      <c r="B66" s="6" t="n">
        <v>551065000000</v>
      </c>
      <c r="C66" s="6" t="n">
        <v>538374000000</v>
      </c>
      <c r="D66" s="8">
        <f>AND(ISNUMBER(B66),ISNUMBER(C66),C66&lt;&gt;0)</f>
        <v/>
      </c>
      <c r="E66" s="8">
        <f>IFERROR(IF(AND(B66&lt;100000000000,(B66-C66)/ABS(C66)&gt;0.5),0,(B66-C66)/ABS(C66)),NA())</f>
        <v/>
      </c>
      <c r="F66" s="8">
        <f>IFERROR(MIN(4,INT((RANK.AVG(E66,$E$9:$E$178,1)-1)*5/COUNT($E$9:$E$178))),NA())</f>
        <v/>
      </c>
    </row>
    <row r="67">
      <c r="A67" s="6" t="inlineStr">
        <is>
          <t>A003490</t>
        </is>
      </c>
      <c r="B67" s="6" t="n">
        <v>1180460000000</v>
      </c>
      <c r="C67" s="6" t="n">
        <v>1556690000000</v>
      </c>
      <c r="D67" s="8">
        <f>AND(ISNUMBER(B67),ISNUMBER(C67),C67&lt;&gt;0)</f>
        <v/>
      </c>
      <c r="E67" s="8">
        <f>IFERROR(IF(AND(B67&lt;100000000000,(B67-C67)/ABS(C67)&gt;0.5),0,(B67-C67)/ABS(C67)),NA())</f>
        <v/>
      </c>
      <c r="F67" s="8">
        <f>IFERROR(MIN(4,INT((RANK.AVG(E67,$E$9:$E$178,1)-1)*5/COUNT($E$9:$E$178))),NA())</f>
        <v/>
      </c>
    </row>
    <row r="68">
      <c r="A68" s="6" t="inlineStr">
        <is>
          <t>A090430</t>
        </is>
      </c>
      <c r="B68" s="6" t="n">
        <v>478268000000</v>
      </c>
      <c r="C68" s="6" t="n">
        <v>472512000000</v>
      </c>
      <c r="D68" s="8">
        <f>AND(ISNUMBER(B68),ISNUMBER(C68),C68&lt;&gt;0)</f>
        <v/>
      </c>
      <c r="E68" s="8">
        <f>IFERROR(IF(AND(B68&lt;100000000000,(B68-C68)/ABS(C68)&gt;0.5),0,(B68-C68)/ABS(C68)),NA())</f>
        <v/>
      </c>
      <c r="F68" s="8">
        <f>IFERROR(MIN(4,INT((RANK.AVG(E68,$E$9:$E$178,1)-1)*5/COUNT($E$9:$E$178))),NA())</f>
        <v/>
      </c>
    </row>
    <row r="69">
      <c r="A69" s="6" t="inlineStr">
        <is>
          <t>A000720</t>
        </is>
      </c>
      <c r="B69" s="6" t="n">
        <v>921351000000</v>
      </c>
      <c r="C69" s="6" t="n">
        <v>898510000000</v>
      </c>
      <c r="D69" s="8">
        <f>AND(ISNUMBER(B69),ISNUMBER(C69),C69&lt;&gt;0)</f>
        <v/>
      </c>
      <c r="E69" s="8">
        <f>IFERROR(IF(AND(B69&lt;100000000000,(B69-C69)/ABS(C69)&gt;0.5),0,(B69-C69)/ABS(C69)),NA())</f>
        <v/>
      </c>
      <c r="F69" s="8">
        <f>IFERROR(MIN(4,INT((RANK.AVG(E69,$E$9:$E$178,1)-1)*5/COUNT($E$9:$E$178))),NA())</f>
        <v/>
      </c>
    </row>
    <row r="70">
      <c r="A70" s="6" t="inlineStr">
        <is>
          <t>A377300</t>
        </is>
      </c>
      <c r="B70" s="6" t="n">
        <v>142567000000</v>
      </c>
      <c r="C70" s="6" t="n">
        <v>112379000000</v>
      </c>
      <c r="D70" s="8">
        <f>AND(ISNUMBER(B70),ISNUMBER(C70),C70&lt;&gt;0)</f>
        <v/>
      </c>
      <c r="E70" s="8">
        <f>IFERROR(IF(AND(B70&lt;100000000000,(B70-C70)/ABS(C70)&gt;0.5),0,(B70-C70)/ABS(C70)),NA())</f>
        <v/>
      </c>
      <c r="F70" s="8">
        <f>IFERROR(MIN(4,INT((RANK.AVG(E70,$E$9:$E$178,1)-1)*5/COUNT($E$9:$E$178))),NA())</f>
        <v/>
      </c>
    </row>
    <row r="71">
      <c r="A71" s="6" t="inlineStr">
        <is>
          <t>A005830</t>
        </is>
      </c>
      <c r="B71" s="6" t="n">
        <v>2215420000000</v>
      </c>
      <c r="C71" s="6" t="n">
        <v>2283150000000</v>
      </c>
      <c r="D71" s="8">
        <f>AND(ISNUMBER(B71),ISNUMBER(C71),C71&lt;&gt;0)</f>
        <v/>
      </c>
      <c r="E71" s="8">
        <f>IFERROR(IF(AND(B71&lt;100000000000,(B71-C71)/ABS(C71)&gt;0.5),0,(B71-C71)/ABS(C71)),NA())</f>
        <v/>
      </c>
      <c r="F71" s="8">
        <f>IFERROR(MIN(4,INT((RANK.AVG(E71,$E$9:$E$178,1)-1)*5/COUNT($E$9:$E$178))),NA())</f>
        <v/>
      </c>
    </row>
    <row r="72">
      <c r="A72" s="6" t="inlineStr">
        <is>
          <t>A010120</t>
        </is>
      </c>
      <c r="B72" s="6" t="n">
        <v>729715000000</v>
      </c>
      <c r="C72" s="6" t="n">
        <v>680683000000</v>
      </c>
      <c r="D72" s="8">
        <f>AND(ISNUMBER(B72),ISNUMBER(C72),C72&lt;&gt;0)</f>
        <v/>
      </c>
      <c r="E72" s="8">
        <f>IFERROR(IF(AND(B72&lt;100000000000,(B72-C72)/ABS(C72)&gt;0.5),0,(B72-C72)/ABS(C72)),NA())</f>
        <v/>
      </c>
      <c r="F72" s="8">
        <f>IFERROR(MIN(4,INT((RANK.AVG(E72,$E$9:$E$178,1)-1)*5/COUNT($E$9:$E$178))),NA())</f>
        <v/>
      </c>
    </row>
    <row r="73">
      <c r="A73" s="6" t="inlineStr">
        <is>
          <t>A326030</t>
        </is>
      </c>
      <c r="B73" s="6" t="n">
        <v>368457000000</v>
      </c>
      <c r="C73" s="6" t="n">
        <v>362246000000</v>
      </c>
      <c r="D73" s="8">
        <f>AND(ISNUMBER(B73),ISNUMBER(C73),C73&lt;&gt;0)</f>
        <v/>
      </c>
      <c r="E73" s="8">
        <f>IFERROR(IF(AND(B73&lt;100000000000,(B73-C73)/ABS(C73)&gt;0.5),0,(B73-C73)/ABS(C73)),NA())</f>
        <v/>
      </c>
      <c r="F73" s="8">
        <f>IFERROR(MIN(4,INT((RANK.AVG(E73,$E$9:$E$178,1)-1)*5/COUNT($E$9:$E$178))),NA())</f>
        <v/>
      </c>
    </row>
    <row r="74">
      <c r="A74" s="6" t="inlineStr">
        <is>
          <t>A000880</t>
        </is>
      </c>
      <c r="B74" s="6" t="n">
        <v>6102290000000</v>
      </c>
      <c r="C74" s="6" t="n">
        <v>6073290000000</v>
      </c>
      <c r="D74" s="8">
        <f>AND(ISNUMBER(B74),ISNUMBER(C74),C74&lt;&gt;0)</f>
        <v/>
      </c>
      <c r="E74" s="8">
        <f>IFERROR(IF(AND(B74&lt;100000000000,(B74-C74)/ABS(C74)&gt;0.5),0,(B74-C74)/ABS(C74)),NA())</f>
        <v/>
      </c>
      <c r="F74" s="8">
        <f>IFERROR(MIN(4,INT((RANK.AVG(E74,$E$9:$E$178,1)-1)*5/COUNT($E$9:$E$178))),NA())</f>
        <v/>
      </c>
    </row>
    <row r="75">
      <c r="A75" s="6" t="inlineStr">
        <is>
          <t>A071050</t>
        </is>
      </c>
      <c r="B75" s="6" t="n">
        <v>2800620000000</v>
      </c>
      <c r="C75" s="6" t="n">
        <v>2655880000000</v>
      </c>
      <c r="D75" s="8">
        <f>AND(ISNUMBER(B75),ISNUMBER(C75),C75&lt;&gt;0)</f>
        <v/>
      </c>
      <c r="E75" s="8">
        <f>IFERROR(IF(AND(B75&lt;100000000000,(B75-C75)/ABS(C75)&gt;0.5),0,(B75-C75)/ABS(C75)),NA())</f>
        <v/>
      </c>
      <c r="F75" s="8">
        <f>IFERROR(MIN(4,INT((RANK.AVG(E75,$E$9:$E$178,1)-1)*5/COUNT($E$9:$E$178))),NA())</f>
        <v/>
      </c>
    </row>
    <row r="76">
      <c r="A76" s="6" t="inlineStr">
        <is>
          <t>A021240</t>
        </is>
      </c>
      <c r="B76" s="6" t="n">
        <v>1033330000000</v>
      </c>
      <c r="C76" s="6" t="n">
        <v>998463000000</v>
      </c>
      <c r="D76" s="8">
        <f>AND(ISNUMBER(B76),ISNUMBER(C76),C76&lt;&gt;0)</f>
        <v/>
      </c>
      <c r="E76" s="8">
        <f>IFERROR(IF(AND(B76&lt;100000000000,(B76-C76)/ABS(C76)&gt;0.5),0,(B76-C76)/ABS(C76)),NA())</f>
        <v/>
      </c>
      <c r="F76" s="8">
        <f>IFERROR(MIN(4,INT((RANK.AVG(E76,$E$9:$E$178,1)-1)*5/COUNT($E$9:$E$178))),NA())</f>
        <v/>
      </c>
    </row>
    <row r="77">
      <c r="A77" s="6" t="inlineStr">
        <is>
          <t>A010950</t>
        </is>
      </c>
      <c r="B77" s="6" t="n">
        <v>2389090000000</v>
      </c>
      <c r="C77" s="6" t="n">
        <v>1736940000000</v>
      </c>
      <c r="D77" s="8">
        <f>AND(ISNUMBER(B77),ISNUMBER(C77),C77&lt;&gt;0)</f>
        <v/>
      </c>
      <c r="E77" s="8">
        <f>IFERROR(IF(AND(B77&lt;100000000000,(B77-C77)/ABS(C77)&gt;0.5),0,(B77-C77)/ABS(C77)),NA())</f>
        <v/>
      </c>
      <c r="F77" s="8">
        <f>IFERROR(MIN(4,INT((RANK.AVG(E77,$E$9:$E$178,1)-1)*5/COUNT($E$9:$E$178))),NA())</f>
        <v/>
      </c>
    </row>
    <row r="78">
      <c r="A78" s="6" t="inlineStr">
        <is>
          <t>A009830</t>
        </is>
      </c>
      <c r="B78" s="6" t="n">
        <v>990359000000</v>
      </c>
      <c r="C78" s="6" t="n">
        <v>784436000000</v>
      </c>
      <c r="D78" s="8">
        <f>AND(ISNUMBER(B78),ISNUMBER(C78),C78&lt;&gt;0)</f>
        <v/>
      </c>
      <c r="E78" s="8">
        <f>IFERROR(IF(AND(B78&lt;100000000000,(B78-C78)/ABS(C78)&gt;0.5),0,(B78-C78)/ABS(C78)),NA())</f>
        <v/>
      </c>
      <c r="F78" s="8">
        <f>IFERROR(MIN(4,INT((RANK.AVG(E78,$E$9:$E$178,1)-1)*5/COUNT($E$9:$E$178))),NA())</f>
        <v/>
      </c>
    </row>
    <row r="79">
      <c r="A79" s="6" t="inlineStr">
        <is>
          <t>A298040</t>
        </is>
      </c>
      <c r="B79" s="6" t="n">
        <v>1240780000000</v>
      </c>
      <c r="C79" s="6" t="n">
        <v>1172170000000</v>
      </c>
      <c r="D79" s="8">
        <f>AND(ISNUMBER(B79),ISNUMBER(C79),C79&lt;&gt;0)</f>
        <v/>
      </c>
      <c r="E79" s="8">
        <f>IFERROR(IF(AND(B79&lt;100000000000,(B79-C79)/ABS(C79)&gt;0.5),0,(B79-C79)/ABS(C79)),NA())</f>
        <v/>
      </c>
      <c r="F79" s="8">
        <f>IFERROR(MIN(4,INT((RANK.AVG(E79,$E$9:$E$178,1)-1)*5/COUNT($E$9:$E$178))),NA())</f>
        <v/>
      </c>
    </row>
    <row r="80">
      <c r="A80" s="6" t="inlineStr">
        <is>
          <t>A005940</t>
        </is>
      </c>
      <c r="B80" s="6" t="n">
        <v>1955590000000</v>
      </c>
      <c r="C80" s="6" t="n">
        <v>1654670000000</v>
      </c>
      <c r="D80" s="8">
        <f>AND(ISNUMBER(B80),ISNUMBER(C80),C80&lt;&gt;0)</f>
        <v/>
      </c>
      <c r="E80" s="8">
        <f>IFERROR(IF(AND(B80&lt;100000000000,(B80-C80)/ABS(C80)&gt;0.5),0,(B80-C80)/ABS(C80)),NA())</f>
        <v/>
      </c>
      <c r="F80" s="8">
        <f>IFERROR(MIN(4,INT((RANK.AVG(E80,$E$9:$E$178,1)-1)*5/COUNT($E$9:$E$178))),NA())</f>
        <v/>
      </c>
    </row>
    <row r="81">
      <c r="A81" s="6" t="inlineStr">
        <is>
          <t>A029780</t>
        </is>
      </c>
      <c r="B81" s="6" t="n">
        <v>869667000000</v>
      </c>
      <c r="C81" s="6" t="n">
        <v>895750000000</v>
      </c>
      <c r="D81" s="8">
        <f>AND(ISNUMBER(B81),ISNUMBER(C81),C81&lt;&gt;0)</f>
        <v/>
      </c>
      <c r="E81" s="8">
        <f>IFERROR(IF(AND(B81&lt;100000000000,(B81-C81)/ABS(C81)&gt;0.5),0,(B81-C81)/ABS(C81)),NA())</f>
        <v/>
      </c>
      <c r="F81" s="8">
        <f>IFERROR(MIN(4,INT((RANK.AVG(E81,$E$9:$E$178,1)-1)*5/COUNT($E$9:$E$178))),NA())</f>
        <v/>
      </c>
    </row>
    <row r="82">
      <c r="A82" s="6" t="inlineStr">
        <is>
          <t>A006260</t>
        </is>
      </c>
      <c r="B82" s="6" t="n">
        <v>1482490000000</v>
      </c>
      <c r="C82" s="6" t="n">
        <v>1442130000000</v>
      </c>
      <c r="D82" s="8">
        <f>AND(ISNUMBER(B82),ISNUMBER(C82),C82&lt;&gt;0)</f>
        <v/>
      </c>
      <c r="E82" s="8">
        <f>IFERROR(IF(AND(B82&lt;100000000000,(B82-C82)/ABS(C82)&gt;0.5),0,(B82-C82)/ABS(C82)),NA())</f>
        <v/>
      </c>
      <c r="F82" s="8">
        <f>IFERROR(MIN(4,INT((RANK.AVG(E82,$E$9:$E$178,1)-1)*5/COUNT($E$9:$E$178))),NA())</f>
        <v/>
      </c>
    </row>
    <row r="83">
      <c r="A83" s="6" t="inlineStr">
        <is>
          <t>A016360</t>
        </is>
      </c>
      <c r="B83" s="6" t="n">
        <v>1794030000000</v>
      </c>
      <c r="C83" s="6" t="n">
        <v>1682450000000</v>
      </c>
      <c r="D83" s="8">
        <f>AND(ISNUMBER(B83),ISNUMBER(C83),C83&lt;&gt;0)</f>
        <v/>
      </c>
      <c r="E83" s="8">
        <f>IFERROR(IF(AND(B83&lt;100000000000,(B83-C83)/ABS(C83)&gt;0.5),0,(B83-C83)/ABS(C83)),NA())</f>
        <v/>
      </c>
      <c r="F83" s="8">
        <f>IFERROR(MIN(4,INT((RANK.AVG(E83,$E$9:$E$178,1)-1)*5/COUNT($E$9:$E$178))),NA())</f>
        <v/>
      </c>
    </row>
    <row r="84">
      <c r="A84" s="6" t="inlineStr">
        <is>
          <t>A032640</t>
        </is>
      </c>
      <c r="B84" s="6" t="n">
        <v>1153420000000</v>
      </c>
      <c r="C84" s="6" t="n">
        <v>1151710000000</v>
      </c>
      <c r="D84" s="8">
        <f>AND(ISNUMBER(B84),ISNUMBER(C84),C84&lt;&gt;0)</f>
        <v/>
      </c>
      <c r="E84" s="8">
        <f>IFERROR(IF(AND(B84&lt;100000000000,(B84-C84)/ABS(C84)&gt;0.5),0,(B84-C84)/ABS(C84)),NA())</f>
        <v/>
      </c>
      <c r="F84" s="8">
        <f>IFERROR(MIN(4,INT((RANK.AVG(E84,$E$9:$E$178,1)-1)*5/COUNT($E$9:$E$178))),NA())</f>
        <v/>
      </c>
    </row>
    <row r="85">
      <c r="A85" s="6" t="inlineStr">
        <is>
          <t>A051900</t>
        </is>
      </c>
      <c r="B85" s="6" t="n">
        <v>307054000000</v>
      </c>
      <c r="C85" s="6" t="n">
        <v>309126000000</v>
      </c>
      <c r="D85" s="8">
        <f>AND(ISNUMBER(B85),ISNUMBER(C85),C85&lt;&gt;0)</f>
        <v/>
      </c>
      <c r="E85" s="8">
        <f>IFERROR(IF(AND(B85&lt;100000000000,(B85-C85)/ABS(C85)&gt;0.5),0,(B85-C85)/ABS(C85)),NA())</f>
        <v/>
      </c>
      <c r="F85" s="8">
        <f>IFERROR(MIN(4,INT((RANK.AVG(E85,$E$9:$E$178,1)-1)*5/COUNT($E$9:$E$178))),NA())</f>
        <v/>
      </c>
    </row>
    <row r="86">
      <c r="A86" s="6" t="inlineStr">
        <is>
          <t>A251270</t>
        </is>
      </c>
      <c r="B86" s="6" t="n">
        <v>441983000000</v>
      </c>
      <c r="C86" s="6" t="n">
        <v>444017000000</v>
      </c>
      <c r="D86" s="8">
        <f>AND(ISNUMBER(B86),ISNUMBER(C86),C86&lt;&gt;0)</f>
        <v/>
      </c>
      <c r="E86" s="8">
        <f>IFERROR(IF(AND(B86&lt;100000000000,(B86-C86)/ABS(C86)&gt;0.5),0,(B86-C86)/ABS(C86)),NA())</f>
        <v/>
      </c>
      <c r="F86" s="8">
        <f>IFERROR(MIN(4,INT((RANK.AVG(E86,$E$9:$E$178,1)-1)*5/COUNT($E$9:$E$178))),NA())</f>
        <v/>
      </c>
    </row>
    <row r="87">
      <c r="A87" s="6" t="inlineStr">
        <is>
          <t>A278470</t>
        </is>
      </c>
      <c r="B87" s="6" t="n">
        <v>705109000000</v>
      </c>
      <c r="C87" s="6" t="n">
        <v>613350000000</v>
      </c>
      <c r="D87" s="8">
        <f>AND(ISNUMBER(B87),ISNUMBER(C87),C87&lt;&gt;0)</f>
        <v/>
      </c>
      <c r="E87" s="8">
        <f>IFERROR(IF(AND(B87&lt;100000000000,(B87-C87)/ABS(C87)&gt;0.5),0,(B87-C87)/ABS(C87)),NA())</f>
        <v/>
      </c>
      <c r="F87" s="8">
        <f>IFERROR(MIN(4,INT((RANK.AVG(E87,$E$9:$E$178,1)-1)*5/COUNT($E$9:$E$178))),NA())</f>
        <v/>
      </c>
    </row>
    <row r="88">
      <c r="A88" s="6" t="inlineStr">
        <is>
          <t>A064400</t>
        </is>
      </c>
      <c r="B88" s="6" t="n">
        <v>659069000000</v>
      </c>
      <c r="C88" s="6" t="n">
        <v>633394000000</v>
      </c>
      <c r="D88" s="8">
        <f>AND(ISNUMBER(B88),ISNUMBER(C88),C88&lt;&gt;0)</f>
        <v/>
      </c>
      <c r="E88" s="8">
        <f>IFERROR(IF(AND(B88&lt;100000000000,(B88-C88)/ABS(C88)&gt;0.5),0,(B88-C88)/ABS(C88)),NA())</f>
        <v/>
      </c>
      <c r="F88" s="8">
        <f>IFERROR(MIN(4,INT((RANK.AVG(E88,$E$9:$E$178,1)-1)*5/COUNT($E$9:$E$178))),NA())</f>
        <v/>
      </c>
    </row>
    <row r="89">
      <c r="A89" s="6" t="inlineStr">
        <is>
          <t>A161390</t>
        </is>
      </c>
      <c r="B89" s="6" t="n">
        <v>2257760000000</v>
      </c>
      <c r="C89" s="6" t="n">
        <v>2251120000000</v>
      </c>
      <c r="D89" s="8">
        <f>AND(ISNUMBER(B89),ISNUMBER(C89),C89&lt;&gt;0)</f>
        <v/>
      </c>
      <c r="E89" s="8">
        <f>IFERROR(IF(AND(B89&lt;100000000000,(B89-C89)/ABS(C89)&gt;0.5),0,(B89-C89)/ABS(C89)),NA())</f>
        <v/>
      </c>
      <c r="F89" s="8">
        <f>IFERROR(MIN(4,INT((RANK.AVG(E89,$E$9:$E$178,1)-1)*5/COUNT($E$9:$E$178))),NA())</f>
        <v/>
      </c>
    </row>
    <row r="90">
      <c r="A90" s="6" t="inlineStr">
        <is>
          <t>A241560</t>
        </is>
      </c>
      <c r="B90" s="6" t="n">
        <v>818962000000</v>
      </c>
      <c r="C90" s="6" t="n">
        <v>772919000000</v>
      </c>
      <c r="D90" s="8">
        <f>AND(ISNUMBER(B90),ISNUMBER(C90),C90&lt;&gt;0)</f>
        <v/>
      </c>
      <c r="E90" s="8">
        <f>IFERROR(IF(AND(B90&lt;100000000000,(B90-C90)/ABS(C90)&gt;0.5),0,(B90-C90)/ABS(C90)),NA())</f>
        <v/>
      </c>
      <c r="F90" s="8">
        <f>IFERROR(MIN(4,INT((RANK.AVG(E90,$E$9:$E$178,1)-1)*5/COUNT($E$9:$E$178))),NA())</f>
        <v/>
      </c>
    </row>
    <row r="91">
      <c r="A91" s="6" t="inlineStr">
        <is>
          <t>A039490</t>
        </is>
      </c>
      <c r="B91" s="6" t="n">
        <v>1934930000000</v>
      </c>
      <c r="C91" s="6" t="n">
        <v>1865250000000</v>
      </c>
      <c r="D91" s="8">
        <f>AND(ISNUMBER(B91),ISNUMBER(C91),C91&lt;&gt;0)</f>
        <v/>
      </c>
      <c r="E91" s="8">
        <f>IFERROR(IF(AND(B91&lt;100000000000,(B91-C91)/ABS(C91)&gt;0.5),0,(B91-C91)/ABS(C91)),NA())</f>
        <v/>
      </c>
      <c r="F91" s="8">
        <f>IFERROR(MIN(4,INT((RANK.AVG(E91,$E$9:$E$178,1)-1)*5/COUNT($E$9:$E$178))),NA())</f>
        <v/>
      </c>
    </row>
    <row r="92">
      <c r="A92" s="6" t="inlineStr">
        <is>
          <t>A001040</t>
        </is>
      </c>
      <c r="B92" s="6" t="n">
        <v>2898160000000</v>
      </c>
      <c r="C92" s="6" t="n">
        <v>2912390000000</v>
      </c>
      <c r="D92" s="8">
        <f>AND(ISNUMBER(B92),ISNUMBER(C92),C92&lt;&gt;0)</f>
        <v/>
      </c>
      <c r="E92" s="8">
        <f>IFERROR(IF(AND(B92&lt;100000000000,(B92-C92)/ABS(C92)&gt;0.5),0,(B92-C92)/ABS(C92)),NA())</f>
        <v/>
      </c>
      <c r="F92" s="8">
        <f>IFERROR(MIN(4,INT((RANK.AVG(E92,$E$9:$E$178,1)-1)*5/COUNT($E$9:$E$178))),NA())</f>
        <v/>
      </c>
    </row>
    <row r="93">
      <c r="A93" s="6" t="inlineStr">
        <is>
          <t>A028050</t>
        </is>
      </c>
      <c r="B93" s="6" t="n">
        <v>928629000000</v>
      </c>
      <c r="C93" s="6" t="n">
        <v>879453000000</v>
      </c>
      <c r="D93" s="8">
        <f>AND(ISNUMBER(B93),ISNUMBER(C93),C93&lt;&gt;0)</f>
        <v/>
      </c>
      <c r="E93" s="8">
        <f>IFERROR(IF(AND(B93&lt;100000000000,(B93-C93)/ABS(C93)&gt;0.5),0,(B93-C93)/ABS(C93)),NA())</f>
        <v/>
      </c>
      <c r="F93" s="8">
        <f>IFERROR(MIN(4,INT((RANK.AVG(E93,$E$9:$E$178,1)-1)*5/COUNT($E$9:$E$178))),NA())</f>
        <v/>
      </c>
    </row>
    <row r="94">
      <c r="A94" s="6" t="inlineStr">
        <is>
          <t>A271560</t>
        </is>
      </c>
      <c r="B94" s="6" t="n">
        <v>665485000000</v>
      </c>
      <c r="C94" s="6" t="n">
        <v>647746000000</v>
      </c>
      <c r="D94" s="8">
        <f>AND(ISNUMBER(B94),ISNUMBER(C94),C94&lt;&gt;0)</f>
        <v/>
      </c>
      <c r="E94" s="8">
        <f>IFERROR(IF(AND(B94&lt;100000000000,(B94-C94)/ABS(C94)&gt;0.5),0,(B94-C94)/ABS(C94)),NA())</f>
        <v/>
      </c>
      <c r="F94" s="8">
        <f>IFERROR(MIN(4,INT((RANK.AVG(E94,$E$9:$E$178,1)-1)*5/COUNT($E$9:$E$178))),NA())</f>
        <v/>
      </c>
    </row>
    <row r="95">
      <c r="A95" s="6" t="inlineStr">
        <is>
          <t>A034220</t>
        </is>
      </c>
      <c r="B95" s="6" t="n">
        <v>1339010000000</v>
      </c>
      <c r="C95" s="6" t="n">
        <v>1346630000000</v>
      </c>
      <c r="D95" s="8">
        <f>AND(ISNUMBER(B95),ISNUMBER(C95),C95&lt;&gt;0)</f>
        <v/>
      </c>
      <c r="E95" s="8">
        <f>IFERROR(IF(AND(B95&lt;100000000000,(B95-C95)/ABS(C95)&gt;0.5),0,(B95-C95)/ABS(C95)),NA())</f>
        <v/>
      </c>
      <c r="F95" s="8">
        <f>IFERROR(MIN(4,INT((RANK.AVG(E95,$E$9:$E$178,1)-1)*5/COUNT($E$9:$E$178))),NA())</f>
        <v/>
      </c>
    </row>
    <row r="96">
      <c r="A96" s="6" t="inlineStr">
        <is>
          <t>A078930</t>
        </is>
      </c>
      <c r="B96" s="6" t="n">
        <v>3286480000000</v>
      </c>
      <c r="C96" s="6" t="n">
        <v>2939040000000</v>
      </c>
      <c r="D96" s="8">
        <f>AND(ISNUMBER(B96),ISNUMBER(C96),C96&lt;&gt;0)</f>
        <v/>
      </c>
      <c r="E96" s="8">
        <f>IFERROR(IF(AND(B96&lt;100000000000,(B96-C96)/ABS(C96)&gt;0.5),0,(B96-C96)/ABS(C96)),NA())</f>
        <v/>
      </c>
      <c r="F96" s="8">
        <f>IFERROR(MIN(4,INT((RANK.AVG(E96,$E$9:$E$178,1)-1)*5/COUNT($E$9:$E$178))),NA())</f>
        <v/>
      </c>
    </row>
    <row r="97">
      <c r="A97" s="6" t="inlineStr">
        <is>
          <t>A004020</t>
        </is>
      </c>
      <c r="B97" s="6" t="n">
        <v>587013000000</v>
      </c>
      <c r="C97" s="6" t="n">
        <v>685055000000</v>
      </c>
      <c r="D97" s="8">
        <f>AND(ISNUMBER(B97),ISNUMBER(C97),C97&lt;&gt;0)</f>
        <v/>
      </c>
      <c r="E97" s="8">
        <f>IFERROR(IF(AND(B97&lt;100000000000,(B97-C97)/ABS(C97)&gt;0.5),0,(B97-C97)/ABS(C97)),NA())</f>
        <v/>
      </c>
      <c r="F97" s="8">
        <f>IFERROR(MIN(4,INT((RANK.AVG(E97,$E$9:$E$178,1)-1)*5/COUNT($E$9:$E$178))),NA())</f>
        <v/>
      </c>
    </row>
    <row r="98">
      <c r="A98" s="6" t="inlineStr">
        <is>
          <t>A307950</t>
        </is>
      </c>
      <c r="B98" s="6" t="n">
        <v>324093000000</v>
      </c>
      <c r="C98" s="6" t="n">
        <v>320856000000</v>
      </c>
      <c r="D98" s="8">
        <f>AND(ISNUMBER(B98),ISNUMBER(C98),C98&lt;&gt;0)</f>
        <v/>
      </c>
      <c r="E98" s="8">
        <f>IFERROR(IF(AND(B98&lt;100000000000,(B98-C98)/ABS(C98)&gt;0.5),0,(B98-C98)/ABS(C98)),NA())</f>
        <v/>
      </c>
      <c r="F98" s="8">
        <f>IFERROR(MIN(4,INT((RANK.AVG(E98,$E$9:$E$178,1)-1)*5/COUNT($E$9:$E$178))),NA())</f>
        <v/>
      </c>
    </row>
    <row r="99">
      <c r="A99" s="6" t="inlineStr">
        <is>
          <t>A128940</t>
        </is>
      </c>
      <c r="B99" s="6" t="n">
        <v>292286000000</v>
      </c>
      <c r="C99" s="6" t="n">
        <v>290316000000</v>
      </c>
      <c r="D99" s="8">
        <f>AND(ISNUMBER(B99),ISNUMBER(C99),C99&lt;&gt;0)</f>
        <v/>
      </c>
      <c r="E99" s="8">
        <f>IFERROR(IF(AND(B99&lt;100000000000,(B99-C99)/ABS(C99)&gt;0.5),0,(B99-C99)/ABS(C99)),NA())</f>
        <v/>
      </c>
      <c r="F99" s="8">
        <f>IFERROR(MIN(4,INT((RANK.AVG(E99,$E$9:$E$178,1)-1)*5/COUNT($E$9:$E$178))),NA())</f>
        <v/>
      </c>
    </row>
    <row r="100">
      <c r="A100" s="6" t="inlineStr">
        <is>
          <t>A036570</t>
        </is>
      </c>
      <c r="B100" s="6" t="n">
        <v>458651000000</v>
      </c>
      <c r="C100" s="6" t="n">
        <v>410381000000</v>
      </c>
      <c r="D100" s="8">
        <f>AND(ISNUMBER(B100),ISNUMBER(C100),C100&lt;&gt;0)</f>
        <v/>
      </c>
      <c r="E100" s="8">
        <f>IFERROR(IF(AND(B100&lt;100000000000,(B100-C100)/ABS(C100)&gt;0.5),0,(B100-C100)/ABS(C100)),NA())</f>
        <v/>
      </c>
      <c r="F100" s="8">
        <f>IFERROR(MIN(4,INT((RANK.AVG(E100,$E$9:$E$178,1)-1)*5/COUNT($E$9:$E$178))),NA())</f>
        <v/>
      </c>
    </row>
    <row r="101">
      <c r="A101" s="6" t="inlineStr">
        <is>
          <t>A175330</t>
        </is>
      </c>
      <c r="B101" s="6" t="n">
        <v>1045330000000</v>
      </c>
      <c r="C101" s="6" t="n">
        <v>1056200000000</v>
      </c>
      <c r="D101" s="8">
        <f>AND(ISNUMBER(B101),ISNUMBER(C101),C101&lt;&gt;0)</f>
        <v/>
      </c>
      <c r="E101" s="8">
        <f>IFERROR(IF(AND(B101&lt;100000000000,(B101-C101)/ABS(C101)&gt;0.5),0,(B101-C101)/ABS(C101)),NA())</f>
        <v/>
      </c>
      <c r="F101" s="8">
        <f>IFERROR(MIN(4,INT((RANK.AVG(E101,$E$9:$E$178,1)-1)*5/COUNT($E$9:$E$178))),NA())</f>
        <v/>
      </c>
    </row>
    <row r="102">
      <c r="A102" s="6" t="inlineStr">
        <is>
          <t>A138930</t>
        </is>
      </c>
      <c r="B102" s="6" t="n">
        <v>1138290000000</v>
      </c>
      <c r="C102" s="6" t="n">
        <v>1153380000000</v>
      </c>
      <c r="D102" s="8">
        <f>AND(ISNUMBER(B102),ISNUMBER(C102),C102&lt;&gt;0)</f>
        <v/>
      </c>
      <c r="E102" s="8">
        <f>IFERROR(IF(AND(B102&lt;100000000000,(B102-C102)/ABS(C102)&gt;0.5),0,(B102-C102)/ABS(C102)),NA())</f>
        <v/>
      </c>
      <c r="F102" s="8">
        <f>IFERROR(MIN(4,INT((RANK.AVG(E102,$E$9:$E$178,1)-1)*5/COUNT($E$9:$E$178))),NA())</f>
        <v/>
      </c>
    </row>
    <row r="103">
      <c r="A103" s="6" t="inlineStr">
        <is>
          <t>A097950</t>
        </is>
      </c>
      <c r="B103" s="6" t="n">
        <v>1369350000000</v>
      </c>
      <c r="C103" s="6" t="n">
        <v>1348290000000</v>
      </c>
      <c r="D103" s="8">
        <f>AND(ISNUMBER(B103),ISNUMBER(C103),C103&lt;&gt;0)</f>
        <v/>
      </c>
      <c r="E103" s="8">
        <f>IFERROR(IF(AND(B103&lt;100000000000,(B103-C103)/ABS(C103)&gt;0.5),0,(B103-C103)/ABS(C103)),NA())</f>
        <v/>
      </c>
      <c r="F103" s="8">
        <f>IFERROR(MIN(4,INT((RANK.AVG(E103,$E$9:$E$178,1)-1)*5/COUNT($E$9:$E$178))),NA())</f>
        <v/>
      </c>
    </row>
    <row r="104">
      <c r="A104" s="6" t="inlineStr">
        <is>
          <t>A035250</t>
        </is>
      </c>
      <c r="B104" s="6" t="n">
        <v>246267000000</v>
      </c>
      <c r="C104" s="6" t="n">
        <v>242075000000</v>
      </c>
      <c r="D104" s="8">
        <f>AND(ISNUMBER(B104),ISNUMBER(C104),C104&lt;&gt;0)</f>
        <v/>
      </c>
      <c r="E104" s="8">
        <f>IFERROR(IF(AND(B104&lt;100000000000,(B104-C104)/ABS(C104)&gt;0.5),0,(B104-C104)/ABS(C104)),NA())</f>
        <v/>
      </c>
      <c r="F104" s="8">
        <f>IFERROR(MIN(4,INT((RANK.AVG(E104,$E$9:$E$178,1)-1)*5/COUNT($E$9:$E$178))),NA())</f>
        <v/>
      </c>
    </row>
    <row r="105">
      <c r="A105" s="6" t="inlineStr">
        <is>
          <t>A011790</t>
        </is>
      </c>
      <c r="B105" s="6" t="n">
        <v>-12055555556</v>
      </c>
      <c r="C105" s="6" t="n">
        <v>-82750000000</v>
      </c>
      <c r="D105" s="8">
        <f>AND(ISNUMBER(B105),ISNUMBER(C105),C105&lt;&gt;0)</f>
        <v/>
      </c>
      <c r="E105" s="8">
        <f>IFERROR(IF(AND(B105&lt;100000000000,(B105-C105)/ABS(C105)&gt;0.5),0,(B105-C105)/ABS(C105)),NA())</f>
        <v/>
      </c>
      <c r="F105" s="8">
        <f>IFERROR(MIN(4,INT((RANK.AVG(E105,$E$9:$E$178,1)-1)*5/COUNT($E$9:$E$178))),NA())</f>
        <v/>
      </c>
    </row>
    <row r="106">
      <c r="A106" s="6" t="inlineStr">
        <is>
          <t>A011070</t>
        </is>
      </c>
      <c r="B106" s="6" t="n">
        <v>1110160000000</v>
      </c>
      <c r="C106" s="6" t="n">
        <v>922408000000</v>
      </c>
      <c r="D106" s="8">
        <f>AND(ISNUMBER(B106),ISNUMBER(C106),C106&lt;&gt;0)</f>
        <v/>
      </c>
      <c r="E106" s="8">
        <f>IFERROR(IF(AND(B106&lt;100000000000,(B106-C106)/ABS(C106)&gt;0.5),0,(B106-C106)/ABS(C106)),NA())</f>
        <v/>
      </c>
      <c r="F106" s="8">
        <f>IFERROR(MIN(4,INT((RANK.AVG(E106,$E$9:$E$178,1)-1)*5/COUNT($E$9:$E$178))),NA())</f>
        <v/>
      </c>
    </row>
    <row r="107">
      <c r="A107" s="6" t="inlineStr">
        <is>
          <t>A036460</t>
        </is>
      </c>
      <c r="B107" s="6" t="n">
        <v>2137910000000</v>
      </c>
      <c r="C107" s="6" t="n">
        <v>2122730000000</v>
      </c>
      <c r="D107" s="8">
        <f>AND(ISNUMBER(B107),ISNUMBER(C107),C107&lt;&gt;0)</f>
        <v/>
      </c>
      <c r="E107" s="8">
        <f>IFERROR(IF(AND(B107&lt;100000000000,(B107-C107)/ABS(C107)&gt;0.5),0,(B107-C107)/ABS(C107)),NA())</f>
        <v/>
      </c>
      <c r="F107" s="8">
        <f>IFERROR(MIN(4,INT((RANK.AVG(E107,$E$9:$E$178,1)-1)*5/COUNT($E$9:$E$178))),NA())</f>
        <v/>
      </c>
    </row>
    <row r="108">
      <c r="A108" s="6" t="inlineStr">
        <is>
          <t>A007660</t>
        </is>
      </c>
      <c r="B108" s="6" t="n">
        <v>359152000000</v>
      </c>
      <c r="C108" s="6" t="n">
        <v>342771000000</v>
      </c>
      <c r="D108" s="8">
        <f>AND(ISNUMBER(B108),ISNUMBER(C108),C108&lt;&gt;0)</f>
        <v/>
      </c>
      <c r="E108" s="8">
        <f>IFERROR(IF(AND(B108&lt;100000000000,(B108-C108)/ABS(C108)&gt;0.5),0,(B108-C108)/ABS(C108)),NA())</f>
        <v/>
      </c>
      <c r="F108" s="8">
        <f>IFERROR(MIN(4,INT((RANK.AVG(E108,$E$9:$E$178,1)-1)*5/COUNT($E$9:$E$178))),NA())</f>
        <v/>
      </c>
    </row>
    <row r="109">
      <c r="A109" s="6" t="inlineStr">
        <is>
          <t>A011780</t>
        </is>
      </c>
      <c r="B109" s="6" t="n">
        <v>343604000000</v>
      </c>
      <c r="C109" s="6" t="n">
        <v>389731000000</v>
      </c>
      <c r="D109" s="8">
        <f>AND(ISNUMBER(B109),ISNUMBER(C109),C109&lt;&gt;0)</f>
        <v/>
      </c>
      <c r="E109" s="8">
        <f>IFERROR(IF(AND(B109&lt;100000000000,(B109-C109)/ABS(C109)&gt;0.5),0,(B109-C109)/ABS(C109)),NA())</f>
        <v/>
      </c>
      <c r="F109" s="8">
        <f>IFERROR(MIN(4,INT((RANK.AVG(E109,$E$9:$E$178,1)-1)*5/COUNT($E$9:$E$178))),NA())</f>
        <v/>
      </c>
    </row>
    <row r="110">
      <c r="A110" s="6" t="inlineStr">
        <is>
          <t>A004990</t>
        </is>
      </c>
      <c r="B110" s="6" t="n">
        <v>507333000000</v>
      </c>
      <c r="C110" s="6" t="n">
        <v>504250000000</v>
      </c>
      <c r="D110" s="8">
        <f>AND(ISNUMBER(B110),ISNUMBER(C110),C110&lt;&gt;0)</f>
        <v/>
      </c>
      <c r="E110" s="8">
        <f>IFERROR(IF(AND(B110&lt;100000000000,(B110-C110)/ABS(C110)&gt;0.5),0,(B110-C110)/ABS(C110)),NA())</f>
        <v/>
      </c>
      <c r="F110" s="8">
        <f>IFERROR(MIN(4,INT((RANK.AVG(E110,$E$9:$E$178,1)-1)*5/COUNT($E$9:$E$178))),NA())</f>
        <v/>
      </c>
    </row>
    <row r="111">
      <c r="A111" s="6" t="inlineStr">
        <is>
          <t>A450080</t>
        </is>
      </c>
      <c r="B111" s="6" t="n">
        <v>136667000000</v>
      </c>
      <c r="C111" s="6" t="n">
        <v>129400000000</v>
      </c>
      <c r="D111" s="8">
        <f>AND(ISNUMBER(B111),ISNUMBER(C111),C111&lt;&gt;0)</f>
        <v/>
      </c>
      <c r="E111" s="8">
        <f>IFERROR(IF(AND(B111&lt;100000000000,(B111-C111)/ABS(C111)&gt;0.5),0,(B111-C111)/ABS(C111)),NA())</f>
        <v/>
      </c>
      <c r="F111" s="8">
        <f>IFERROR(MIN(4,INT((RANK.AVG(E111,$E$9:$E$178,1)-1)*5/COUNT($E$9:$E$178))),NA())</f>
        <v/>
      </c>
    </row>
    <row r="112">
      <c r="A112" s="6" t="inlineStr">
        <is>
          <t>A001440</t>
        </is>
      </c>
      <c r="B112" s="6" t="n">
        <v>201339000000</v>
      </c>
      <c r="C112" s="6" t="n">
        <v>170742000000</v>
      </c>
      <c r="D112" s="8">
        <f>AND(ISNUMBER(B112),ISNUMBER(C112),C112&lt;&gt;0)</f>
        <v/>
      </c>
      <c r="E112" s="8">
        <f>IFERROR(IF(AND(B112&lt;100000000000,(B112-C112)/ABS(C112)&gt;0.5),0,(B112-C112)/ABS(C112)),NA())</f>
        <v/>
      </c>
      <c r="F112" s="8">
        <f>IFERROR(MIN(4,INT((RANK.AVG(E112,$E$9:$E$178,1)-1)*5/COUNT($E$9:$E$178))),NA())</f>
        <v/>
      </c>
    </row>
    <row r="113">
      <c r="A113" s="6" t="inlineStr">
        <is>
          <t>A383220</t>
        </is>
      </c>
      <c r="B113" s="6" t="n">
        <v>516970000000</v>
      </c>
      <c r="C113" s="6" t="n">
        <v>516068000000</v>
      </c>
      <c r="D113" s="8">
        <f>AND(ISNUMBER(B113),ISNUMBER(C113),C113&lt;&gt;0)</f>
        <v/>
      </c>
      <c r="E113" s="8">
        <f>IFERROR(IF(AND(B113&lt;100000000000,(B113-C113)/ABS(C113)&gt;0.5),0,(B113-C113)/ABS(C113)),NA())</f>
        <v/>
      </c>
      <c r="F113" s="8">
        <f>IFERROR(MIN(4,INT((RANK.AVG(E113,$E$9:$E$178,1)-1)*5/COUNT($E$9:$E$178))),NA())</f>
        <v/>
      </c>
    </row>
    <row r="114">
      <c r="A114" s="6" t="inlineStr">
        <is>
          <t>A002380</t>
        </is>
      </c>
      <c r="B114" s="6" t="n">
        <v>466233000000</v>
      </c>
      <c r="C114" s="6" t="n">
        <v>491765000000</v>
      </c>
      <c r="D114" s="8">
        <f>AND(ISNUMBER(B114),ISNUMBER(C114),C114&lt;&gt;0)</f>
        <v/>
      </c>
      <c r="E114" s="8">
        <f>IFERROR(IF(AND(B114&lt;100000000000,(B114-C114)/ABS(C114)&gt;0.5),0,(B114-C114)/ABS(C114)),NA())</f>
        <v/>
      </c>
      <c r="F114" s="8">
        <f>IFERROR(MIN(4,INT((RANK.AVG(E114,$E$9:$E$178,1)-1)*5/COUNT($E$9:$E$178))),NA())</f>
        <v/>
      </c>
    </row>
    <row r="115">
      <c r="A115" s="6" t="inlineStr">
        <is>
          <t>A011170</t>
        </is>
      </c>
      <c r="B115" s="6" t="n">
        <v>-153238000000</v>
      </c>
      <c r="C115" s="6" t="n">
        <v>-225755000000</v>
      </c>
      <c r="D115" s="8">
        <f>AND(ISNUMBER(B115),ISNUMBER(C115),C115&lt;&gt;0)</f>
        <v/>
      </c>
      <c r="E115" s="8">
        <f>IFERROR(IF(AND(B115&lt;100000000000,(B115-C115)/ABS(C115)&gt;0.5),0,(B115-C115)/ABS(C115)),NA())</f>
        <v/>
      </c>
      <c r="F115" s="8">
        <f>IFERROR(MIN(4,INT((RANK.AVG(E115,$E$9:$E$178,1)-1)*5/COUNT($E$9:$E$178))),NA())</f>
        <v/>
      </c>
    </row>
    <row r="116">
      <c r="A116" s="6" t="inlineStr">
        <is>
          <t>A088350</t>
        </is>
      </c>
      <c r="B116" s="6" t="n">
        <v>754948000000</v>
      </c>
      <c r="C116" s="6" t="n">
        <v>767105000000</v>
      </c>
      <c r="D116" s="8">
        <f>AND(ISNUMBER(B116),ISNUMBER(C116),C116&lt;&gt;0)</f>
        <v/>
      </c>
      <c r="E116" s="8">
        <f>IFERROR(IF(AND(B116&lt;100000000000,(B116-C116)/ABS(C116)&gt;0.5),0,(B116-C116)/ABS(C116)),NA())</f>
        <v/>
      </c>
      <c r="F116" s="8">
        <f>IFERROR(MIN(4,INT((RANK.AVG(E116,$E$9:$E$178,1)-1)*5/COUNT($E$9:$E$178))),NA())</f>
        <v/>
      </c>
    </row>
    <row r="117">
      <c r="A117" s="6" t="inlineStr">
        <is>
          <t>A052690</t>
        </is>
      </c>
      <c r="B117" s="6" t="n">
        <v>74115384615</v>
      </c>
      <c r="C117" s="6" t="n">
        <v>72011363636</v>
      </c>
      <c r="D117" s="8">
        <f>AND(ISNUMBER(B117),ISNUMBER(C117),C117&lt;&gt;0)</f>
        <v/>
      </c>
      <c r="E117" s="8">
        <f>IFERROR(IF(AND(B117&lt;100000000000,(B117-C117)/ABS(C117)&gt;0.5),0,(B117-C117)/ABS(C117)),NA())</f>
        <v/>
      </c>
      <c r="F117" s="8">
        <f>IFERROR(MIN(4,INT((RANK.AVG(E117,$E$9:$E$178,1)-1)*5/COUNT($E$9:$E$178))),NA())</f>
        <v/>
      </c>
    </row>
    <row r="118">
      <c r="A118" s="6" t="inlineStr">
        <is>
          <t>A192820</t>
        </is>
      </c>
      <c r="B118" s="6" t="n">
        <v>244882000000</v>
      </c>
      <c r="C118" s="6" t="n">
        <v>243673000000</v>
      </c>
      <c r="D118" s="8">
        <f>AND(ISNUMBER(B118),ISNUMBER(C118),C118&lt;&gt;0)</f>
        <v/>
      </c>
      <c r="E118" s="8">
        <f>IFERROR(IF(AND(B118&lt;100000000000,(B118-C118)/ABS(C118)&gt;0.5),0,(B118-C118)/ABS(C118)),NA())</f>
        <v/>
      </c>
      <c r="F118" s="8">
        <f>IFERROR(MIN(4,INT((RANK.AVG(E118,$E$9:$E$178,1)-1)*5/COUNT($E$9:$E$178))),NA())</f>
        <v/>
      </c>
    </row>
    <row r="119">
      <c r="A119" s="6" t="inlineStr">
        <is>
          <t>A111770</t>
        </is>
      </c>
      <c r="B119" s="6" t="n">
        <v>647493000000</v>
      </c>
      <c r="C119" s="6" t="n">
        <v>626651000000</v>
      </c>
      <c r="D119" s="8">
        <f>AND(ISNUMBER(B119),ISNUMBER(C119),C119&lt;&gt;0)</f>
        <v/>
      </c>
      <c r="E119" s="8">
        <f>IFERROR(IF(AND(B119&lt;100000000000,(B119-C119)/ABS(C119)&gt;0.5),0,(B119-C119)/ABS(C119)),NA())</f>
        <v/>
      </c>
      <c r="F119" s="8">
        <f>IFERROR(MIN(4,INT((RANK.AVG(E119,$E$9:$E$178,1)-1)*5/COUNT($E$9:$E$178))),NA())</f>
        <v/>
      </c>
    </row>
    <row r="120">
      <c r="A120" s="6" t="inlineStr">
        <is>
          <t>A012750</t>
        </is>
      </c>
      <c r="B120" s="6" t="n">
        <v>257544000000</v>
      </c>
      <c r="C120" s="6" t="n">
        <v>256930000000</v>
      </c>
      <c r="D120" s="8">
        <f>AND(ISNUMBER(B120),ISNUMBER(C120),C120&lt;&gt;0)</f>
        <v/>
      </c>
      <c r="E120" s="8">
        <f>IFERROR(IF(AND(B120&lt;100000000000,(B120-C120)/ABS(C120)&gt;0.5),0,(B120-C120)/ABS(C120)),NA())</f>
        <v/>
      </c>
      <c r="F120" s="8">
        <f>IFERROR(MIN(4,INT((RANK.AVG(E120,$E$9:$E$178,1)-1)*5/COUNT($E$9:$E$178))),NA())</f>
        <v/>
      </c>
    </row>
    <row r="121">
      <c r="A121" s="6" t="inlineStr">
        <is>
          <t>A004370</t>
        </is>
      </c>
      <c r="B121" s="6" t="n">
        <v>213075000000</v>
      </c>
      <c r="C121" s="6" t="n">
        <v>212555000000</v>
      </c>
      <c r="D121" s="8">
        <f>AND(ISNUMBER(B121),ISNUMBER(C121),C121&lt;&gt;0)</f>
        <v/>
      </c>
      <c r="E121" s="8">
        <f>IFERROR(IF(AND(B121&lt;100000000000,(B121-C121)/ABS(C121)&gt;0.5),0,(B121-C121)/ABS(C121)),NA())</f>
        <v/>
      </c>
      <c r="F121" s="8">
        <f>IFERROR(MIN(4,INT((RANK.AVG(E121,$E$9:$E$178,1)-1)*5/COUNT($E$9:$E$178))),NA())</f>
        <v/>
      </c>
    </row>
    <row r="122">
      <c r="A122" s="6" t="inlineStr">
        <is>
          <t>A103140</t>
        </is>
      </c>
      <c r="B122" s="6" t="n">
        <v>358483000000</v>
      </c>
      <c r="C122" s="6" t="n">
        <v>361609000000</v>
      </c>
      <c r="D122" s="8">
        <f>AND(ISNUMBER(B122),ISNUMBER(C122),C122&lt;&gt;0)</f>
        <v/>
      </c>
      <c r="E122" s="8">
        <f>IFERROR(IF(AND(B122&lt;100000000000,(B122-C122)/ABS(C122)&gt;0.5),0,(B122-C122)/ABS(C122)),NA())</f>
        <v/>
      </c>
      <c r="F122" s="8">
        <f>IFERROR(MIN(4,INT((RANK.AVG(E122,$E$9:$E$178,1)-1)*5/COUNT($E$9:$E$178))),NA())</f>
        <v/>
      </c>
    </row>
    <row r="123">
      <c r="A123" s="6" t="inlineStr">
        <is>
          <t>A082740</t>
        </is>
      </c>
      <c r="B123" s="6" t="n">
        <v>258095000000</v>
      </c>
      <c r="C123" s="6" t="n">
        <v>239709000000</v>
      </c>
      <c r="D123" s="8">
        <f>AND(ISNUMBER(B123),ISNUMBER(C123),C123&lt;&gt;0)</f>
        <v/>
      </c>
      <c r="E123" s="8">
        <f>IFERROR(IF(AND(B123&lt;100000000000,(B123-C123)/ABS(C123)&gt;0.5),0,(B123-C123)/ABS(C123)),NA())</f>
        <v/>
      </c>
      <c r="F123" s="8">
        <f>IFERROR(MIN(4,INT((RANK.AVG(E123,$E$9:$E$178,1)-1)*5/COUNT($E$9:$E$178))),NA())</f>
        <v/>
      </c>
    </row>
    <row r="124">
      <c r="A124" s="6" t="inlineStr">
        <is>
          <t>A139480</t>
        </is>
      </c>
      <c r="B124" s="6" t="n">
        <v>597678000000</v>
      </c>
      <c r="C124" s="6" t="n">
        <v>594773000000</v>
      </c>
      <c r="D124" s="8">
        <f>AND(ISNUMBER(B124),ISNUMBER(C124),C124&lt;&gt;0)</f>
        <v/>
      </c>
      <c r="E124" s="8">
        <f>IFERROR(IF(AND(B124&lt;100000000000,(B124-C124)/ABS(C124)&gt;0.5),0,(B124-C124)/ABS(C124)),NA())</f>
        <v/>
      </c>
      <c r="F124" s="8">
        <f>IFERROR(MIN(4,INT((RANK.AVG(E124,$E$9:$E$178,1)-1)*5/COUNT($E$9:$E$178))),NA())</f>
        <v/>
      </c>
    </row>
    <row r="125">
      <c r="A125" s="6" t="inlineStr">
        <is>
          <t>A001450</t>
        </is>
      </c>
      <c r="B125" s="6" t="n">
        <v>1072480000000</v>
      </c>
      <c r="C125" s="6" t="n">
        <v>1114970000000</v>
      </c>
      <c r="D125" s="8">
        <f>AND(ISNUMBER(B125),ISNUMBER(C125),C125&lt;&gt;0)</f>
        <v/>
      </c>
      <c r="E125" s="8">
        <f>IFERROR(IF(AND(B125&lt;100000000000,(B125-C125)/ABS(C125)&gt;0.5),0,(B125-C125)/ABS(C125)),NA())</f>
        <v/>
      </c>
      <c r="F125" s="8">
        <f>IFERROR(MIN(4,INT((RANK.AVG(E125,$E$9:$E$178,1)-1)*5/COUNT($E$9:$E$178))),NA())</f>
        <v/>
      </c>
    </row>
    <row r="126">
      <c r="A126" s="6" t="inlineStr">
        <is>
          <t>A030000</t>
        </is>
      </c>
      <c r="B126" s="6" t="n">
        <v>350175000000</v>
      </c>
      <c r="C126" s="6" t="n">
        <v>361190000000</v>
      </c>
      <c r="D126" s="8">
        <f>AND(ISNUMBER(B126),ISNUMBER(C126),C126&lt;&gt;0)</f>
        <v/>
      </c>
      <c r="E126" s="8">
        <f>IFERROR(IF(AND(B126&lt;100000000000,(B126-C126)/ABS(C126)&gt;0.5),0,(B126-C126)/ABS(C126)),NA())</f>
        <v/>
      </c>
      <c r="F126" s="8">
        <f>IFERROR(MIN(4,INT((RANK.AVG(E126,$E$9:$E$178,1)-1)*5/COUNT($E$9:$E$178))),NA())</f>
        <v/>
      </c>
    </row>
    <row r="127">
      <c r="A127" s="6" t="inlineStr">
        <is>
          <t>A023530</t>
        </is>
      </c>
      <c r="B127" s="6" t="n">
        <v>715383000000</v>
      </c>
      <c r="C127" s="6" t="n">
        <v>687569000000</v>
      </c>
      <c r="D127" s="8">
        <f>AND(ISNUMBER(B127),ISNUMBER(C127),C127&lt;&gt;0)</f>
        <v/>
      </c>
      <c r="E127" s="8">
        <f>IFERROR(IF(AND(B127&lt;100000000000,(B127-C127)/ABS(C127)&gt;0.5),0,(B127-C127)/ABS(C127)),NA())</f>
        <v/>
      </c>
      <c r="F127" s="8">
        <f>IFERROR(MIN(4,INT((RANK.AVG(E127,$E$9:$E$178,1)-1)*5/COUNT($E$9:$E$178))),NA())</f>
        <v/>
      </c>
    </row>
    <row r="128">
      <c r="A128" s="6" t="inlineStr">
        <is>
          <t>A161890</t>
        </is>
      </c>
      <c r="B128" s="6" t="n">
        <v>297579000000</v>
      </c>
      <c r="C128" s="6" t="n">
        <v>289837000000</v>
      </c>
      <c r="D128" s="8">
        <f>AND(ISNUMBER(B128),ISNUMBER(C128),C128&lt;&gt;0)</f>
        <v/>
      </c>
      <c r="E128" s="8">
        <f>IFERROR(IF(AND(B128&lt;100000000000,(B128-C128)/ABS(C128)&gt;0.5),0,(B128-C128)/ABS(C128)),NA())</f>
        <v/>
      </c>
      <c r="F128" s="8">
        <f>IFERROR(MIN(4,INT((RANK.AVG(E128,$E$9:$E$178,1)-1)*5/COUNT($E$9:$E$178))),NA())</f>
        <v/>
      </c>
    </row>
    <row r="129">
      <c r="A129" s="6" t="inlineStr">
        <is>
          <t>A112610</t>
        </is>
      </c>
      <c r="B129" s="6" t="n">
        <v>327793000000</v>
      </c>
      <c r="C129" s="6" t="n">
        <v>324738000000</v>
      </c>
      <c r="D129" s="8">
        <f>AND(ISNUMBER(B129),ISNUMBER(C129),C129&lt;&gt;0)</f>
        <v/>
      </c>
      <c r="E129" s="8">
        <f>IFERROR(IF(AND(B129&lt;100000000000,(B129-C129)/ABS(C129)&gt;0.5),0,(B129-C129)/ABS(C129)),NA())</f>
        <v/>
      </c>
      <c r="F129" s="8">
        <f>IFERROR(MIN(4,INT((RANK.AVG(E129,$E$9:$E$178,1)-1)*5/COUNT($E$9:$E$178))),NA())</f>
        <v/>
      </c>
    </row>
    <row r="130">
      <c r="A130" s="6" t="inlineStr">
        <is>
          <t>A081660</t>
        </is>
      </c>
      <c r="B130" s="6" t="n">
        <v>567108000000</v>
      </c>
      <c r="C130" s="6" t="n">
        <v>565392000000</v>
      </c>
      <c r="D130" s="8">
        <f>AND(ISNUMBER(B130),ISNUMBER(C130),C130&lt;&gt;0)</f>
        <v/>
      </c>
      <c r="E130" s="8">
        <f>IFERROR(IF(AND(B130&lt;100000000000,(B130-C130)/ABS(C130)&gt;0.5),0,(B130-C130)/ABS(C130)),NA())</f>
        <v/>
      </c>
      <c r="F130" s="8">
        <f>IFERROR(MIN(4,INT((RANK.AVG(E130,$E$9:$E$178,1)-1)*5/COUNT($E$9:$E$178))),NA())</f>
        <v/>
      </c>
    </row>
    <row r="131">
      <c r="A131" s="6" t="inlineStr">
        <is>
          <t>A018880</t>
        </is>
      </c>
      <c r="B131" s="6" t="n">
        <v>445254000000</v>
      </c>
      <c r="C131" s="6" t="n">
        <v>433187000000</v>
      </c>
      <c r="D131" s="8">
        <f>AND(ISNUMBER(B131),ISNUMBER(C131),C131&lt;&gt;0)</f>
        <v/>
      </c>
      <c r="E131" s="8">
        <f>IFERROR(IF(AND(B131&lt;100000000000,(B131-C131)/ABS(C131)&gt;0.5),0,(B131-C131)/ABS(C131)),NA())</f>
        <v/>
      </c>
      <c r="F131" s="8">
        <f>IFERROR(MIN(4,INT((RANK.AVG(E131,$E$9:$E$178,1)-1)*5/COUNT($E$9:$E$178))),NA())</f>
        <v/>
      </c>
    </row>
    <row r="132">
      <c r="A132" s="6" t="inlineStr">
        <is>
          <t>A062040</t>
        </is>
      </c>
      <c r="B132" s="6" t="n">
        <v>273248000000</v>
      </c>
      <c r="C132" s="6" t="n">
        <v>264021000000</v>
      </c>
      <c r="D132" s="8">
        <f>AND(ISNUMBER(B132),ISNUMBER(C132),C132&lt;&gt;0)</f>
        <v/>
      </c>
      <c r="E132" s="8">
        <f>IFERROR(IF(AND(B132&lt;100000000000,(B132-C132)/ABS(C132)&gt;0.5),0,(B132-C132)/ABS(C132)),NA())</f>
        <v/>
      </c>
      <c r="F132" s="8">
        <f>IFERROR(MIN(4,INT((RANK.AVG(E132,$E$9:$E$178,1)-1)*5/COUNT($E$9:$E$178))),NA())</f>
        <v/>
      </c>
    </row>
    <row r="133">
      <c r="A133" s="6" t="inlineStr">
        <is>
          <t>A006360</t>
        </is>
      </c>
      <c r="B133" s="6" t="n">
        <v>529699000000</v>
      </c>
      <c r="C133" s="6" t="n">
        <v>533094000000</v>
      </c>
      <c r="D133" s="8">
        <f>AND(ISNUMBER(B133),ISNUMBER(C133),C133&lt;&gt;0)</f>
        <v/>
      </c>
      <c r="E133" s="8">
        <f>IFERROR(IF(AND(B133&lt;100000000000,(B133-C133)/ABS(C133)&gt;0.5),0,(B133-C133)/ABS(C133)),NA())</f>
        <v/>
      </c>
      <c r="F133" s="8">
        <f>IFERROR(MIN(4,INT((RANK.AVG(E133,$E$9:$E$178,1)-1)*5/COUNT($E$9:$E$178))),NA())</f>
        <v/>
      </c>
    </row>
    <row r="134">
      <c r="A134" s="6" t="inlineStr">
        <is>
          <t>A008770</t>
        </is>
      </c>
      <c r="B134" s="6" t="n">
        <v>183306000000</v>
      </c>
      <c r="C134" s="6" t="n">
        <v>138896000000</v>
      </c>
      <c r="D134" s="8">
        <f>AND(ISNUMBER(B134),ISNUMBER(C134),C134&lt;&gt;0)</f>
        <v/>
      </c>
      <c r="E134" s="8">
        <f>IFERROR(IF(AND(B134&lt;100000000000,(B134-C134)/ABS(C134)&gt;0.5),0,(B134-C134)/ABS(C134)),NA())</f>
        <v/>
      </c>
      <c r="F134" s="8">
        <f>IFERROR(MIN(4,INT((RANK.AVG(E134,$E$9:$E$178,1)-1)*5/COUNT($E$9:$E$178))),NA())</f>
        <v/>
      </c>
    </row>
    <row r="135">
      <c r="A135" s="6" t="inlineStr">
        <is>
          <t>A282330</t>
        </is>
      </c>
      <c r="B135" s="6" t="n">
        <v>287450000000</v>
      </c>
      <c r="C135" s="6" t="n">
        <v>279788000000</v>
      </c>
      <c r="D135" s="8">
        <f>AND(ISNUMBER(B135),ISNUMBER(C135),C135&lt;&gt;0)</f>
        <v/>
      </c>
      <c r="E135" s="8">
        <f>IFERROR(IF(AND(B135&lt;100000000000,(B135-C135)/ABS(C135)&gt;0.5),0,(B135-C135)/ABS(C135)),NA())</f>
        <v/>
      </c>
      <c r="F135" s="8">
        <f>IFERROR(MIN(4,INT((RANK.AVG(E135,$E$9:$E$178,1)-1)*5/COUNT($E$9:$E$178))),NA())</f>
        <v/>
      </c>
    </row>
    <row r="136">
      <c r="A136" s="6" t="inlineStr">
        <is>
          <t>A028670</t>
        </is>
      </c>
      <c r="B136" s="6" t="n">
        <v>553308000000</v>
      </c>
      <c r="C136" s="6" t="n">
        <v>540713000000</v>
      </c>
      <c r="D136" s="8">
        <f>AND(ISNUMBER(B136),ISNUMBER(C136),C136&lt;&gt;0)</f>
        <v/>
      </c>
      <c r="E136" s="8">
        <f>IFERROR(IF(AND(B136&lt;100000000000,(B136-C136)/ABS(C136)&gt;0.5),0,(B136-C136)/ABS(C136)),NA())</f>
        <v/>
      </c>
      <c r="F136" s="8">
        <f>IFERROR(MIN(4,INT((RANK.AVG(E136,$E$9:$E$178,1)-1)*5/COUNT($E$9:$E$178))),NA())</f>
        <v/>
      </c>
    </row>
    <row r="137">
      <c r="A137" s="6" t="inlineStr">
        <is>
          <t>A000120</t>
        </is>
      </c>
      <c r="B137" s="6" t="n">
        <v>568800000000</v>
      </c>
      <c r="C137" s="6" t="n">
        <v>584963000000</v>
      </c>
      <c r="D137" s="8">
        <f>AND(ISNUMBER(B137),ISNUMBER(C137),C137&lt;&gt;0)</f>
        <v/>
      </c>
      <c r="E137" s="8">
        <f>IFERROR(IF(AND(B137&lt;100000000000,(B137-C137)/ABS(C137)&gt;0.5),0,(B137-C137)/ABS(C137)),NA())</f>
        <v/>
      </c>
      <c r="F137" s="8">
        <f>IFERROR(MIN(4,INT((RANK.AVG(E137,$E$9:$E$178,1)-1)*5/COUNT($E$9:$E$178))),NA())</f>
        <v/>
      </c>
    </row>
    <row r="138">
      <c r="A138" s="6" t="inlineStr">
        <is>
          <t>A051600</t>
        </is>
      </c>
      <c r="B138" s="6" t="n">
        <v>188503000000</v>
      </c>
      <c r="C138" s="6" t="n">
        <v>185123000000</v>
      </c>
      <c r="D138" s="8">
        <f>AND(ISNUMBER(B138),ISNUMBER(C138),C138&lt;&gt;0)</f>
        <v/>
      </c>
      <c r="E138" s="8">
        <f>IFERROR(IF(AND(B138&lt;100000000000,(B138-C138)/ABS(C138)&gt;0.5),0,(B138-C138)/ABS(C138)),NA())</f>
        <v/>
      </c>
      <c r="F138" s="8">
        <f>IFERROR(MIN(4,INT((RANK.AVG(E138,$E$9:$E$178,1)-1)*5/COUNT($E$9:$E$178))),NA())</f>
        <v/>
      </c>
    </row>
    <row r="139">
      <c r="A139" s="6" t="inlineStr">
        <is>
          <t>A375500</t>
        </is>
      </c>
      <c r="B139" s="6" t="n">
        <v>483189000000</v>
      </c>
      <c r="C139" s="6" t="n">
        <v>466219000000</v>
      </c>
      <c r="D139" s="8">
        <f>AND(ISNUMBER(B139),ISNUMBER(C139),C139&lt;&gt;0)</f>
        <v/>
      </c>
      <c r="E139" s="8">
        <f>IFERROR(IF(AND(B139&lt;100000000000,(B139-C139)/ABS(C139)&gt;0.5),0,(B139-C139)/ABS(C139)),NA())</f>
        <v/>
      </c>
      <c r="F139" s="8">
        <f>IFERROR(MIN(4,INT((RANK.AVG(E139,$E$9:$E$178,1)-1)*5/COUNT($E$9:$E$178))),NA())</f>
        <v/>
      </c>
    </row>
    <row r="140">
      <c r="A140" s="6" t="inlineStr">
        <is>
          <t>A006040</t>
        </is>
      </c>
      <c r="B140" s="6" t="n">
        <v>561917000000</v>
      </c>
      <c r="C140" s="6" t="n">
        <v>570544000000</v>
      </c>
      <c r="D140" s="8">
        <f>AND(ISNUMBER(B140),ISNUMBER(C140),C140&lt;&gt;0)</f>
        <v/>
      </c>
      <c r="E140" s="8">
        <f>IFERROR(IF(AND(B140&lt;100000000000,(B140-C140)/ABS(C140)&gt;0.5),0,(B140-C140)/ABS(C140)),NA())</f>
        <v/>
      </c>
      <c r="F140" s="8">
        <f>IFERROR(MIN(4,INT((RANK.AVG(E140,$E$9:$E$178,1)-1)*5/COUNT($E$9:$E$178))),NA())</f>
        <v/>
      </c>
    </row>
    <row r="141">
      <c r="A141" s="6" t="inlineStr">
        <is>
          <t>A139130</t>
        </is>
      </c>
      <c r="B141" s="6" t="n">
        <v>687712000000</v>
      </c>
      <c r="C141" s="6" t="n">
        <v>695244000000</v>
      </c>
      <c r="D141" s="8">
        <f>AND(ISNUMBER(B141),ISNUMBER(C141),C141&lt;&gt;0)</f>
        <v/>
      </c>
      <c r="E141" s="8">
        <f>IFERROR(IF(AND(B141&lt;100000000000,(B141-C141)/ABS(C141)&gt;0.5),0,(B141-C141)/ABS(C141)),NA())</f>
        <v/>
      </c>
      <c r="F141" s="8">
        <f>IFERROR(MIN(4,INT((RANK.AVG(E141,$E$9:$E$178,1)-1)*5/COUNT($E$9:$E$178))),NA())</f>
        <v/>
      </c>
    </row>
    <row r="142">
      <c r="A142" s="6" t="inlineStr">
        <is>
          <t>A069620</t>
        </is>
      </c>
      <c r="B142" s="6" t="n">
        <v>232428000000</v>
      </c>
      <c r="C142" s="6" t="n">
        <v>236988000000</v>
      </c>
      <c r="D142" s="8">
        <f>AND(ISNUMBER(B142),ISNUMBER(C142),C142&lt;&gt;0)</f>
        <v/>
      </c>
      <c r="E142" s="8">
        <f>IFERROR(IF(AND(B142&lt;100000000000,(B142-C142)/ABS(C142)&gt;0.5),0,(B142-C142)/ABS(C142)),NA())</f>
        <v/>
      </c>
      <c r="F142" s="8">
        <f>IFERROR(MIN(4,INT((RANK.AVG(E142,$E$9:$E$178,1)-1)*5/COUNT($E$9:$E$178))),NA())</f>
        <v/>
      </c>
    </row>
    <row r="143">
      <c r="A143" s="6" t="inlineStr">
        <is>
          <t>A047040</t>
        </is>
      </c>
      <c r="B143" s="6" t="n">
        <v>617956000000</v>
      </c>
      <c r="C143" s="6" t="n">
        <v>541250000000</v>
      </c>
      <c r="D143" s="8">
        <f>AND(ISNUMBER(B143),ISNUMBER(C143),C143&lt;&gt;0)</f>
        <v/>
      </c>
      <c r="E143" s="8">
        <f>IFERROR(IF(AND(B143&lt;100000000000,(B143-C143)/ABS(C143)&gt;0.5),0,(B143-C143)/ABS(C143)),NA())</f>
        <v/>
      </c>
      <c r="F143" s="8">
        <f>IFERROR(MIN(4,INT((RANK.AVG(E143,$E$9:$E$178,1)-1)*5/COUNT($E$9:$E$178))),NA())</f>
        <v/>
      </c>
    </row>
    <row r="144">
      <c r="A144" s="6" t="inlineStr">
        <is>
          <t>A066970</t>
        </is>
      </c>
      <c r="B144" s="6" t="n">
        <v>167802000000</v>
      </c>
      <c r="C144" s="6" t="n">
        <v>145772000000</v>
      </c>
      <c r="D144" s="8">
        <f>AND(ISNUMBER(B144),ISNUMBER(C144),C144&lt;&gt;0)</f>
        <v/>
      </c>
      <c r="E144" s="8">
        <f>IFERROR(IF(AND(B144&lt;100000000000,(B144-C144)/ABS(C144)&gt;0.5),0,(B144-C144)/ABS(C144)),NA())</f>
        <v/>
      </c>
      <c r="F144" s="8">
        <f>IFERROR(MIN(4,INT((RANK.AVG(E144,$E$9:$E$178,1)-1)*5/COUNT($E$9:$E$178))),NA())</f>
        <v/>
      </c>
    </row>
    <row r="145">
      <c r="A145" s="6" t="inlineStr">
        <is>
          <t>A014680</t>
        </is>
      </c>
      <c r="B145" s="6" t="n">
        <v>209371000000</v>
      </c>
      <c r="C145" s="6" t="n">
        <v>223032000000</v>
      </c>
      <c r="D145" s="8">
        <f>AND(ISNUMBER(B145),ISNUMBER(C145),C145&lt;&gt;0)</f>
        <v/>
      </c>
      <c r="E145" s="8">
        <f>IFERROR(IF(AND(B145&lt;100000000000,(B145-C145)/ABS(C145)&gt;0.5),0,(B145-C145)/ABS(C145)),NA())</f>
        <v/>
      </c>
      <c r="F145" s="8">
        <f>IFERROR(MIN(4,INT((RANK.AVG(E145,$E$9:$E$178,1)-1)*5/COUNT($E$9:$E$178))),NA())</f>
        <v/>
      </c>
    </row>
    <row r="146">
      <c r="A146" s="6" t="inlineStr">
        <is>
          <t>A000240</t>
        </is>
      </c>
      <c r="B146" s="6" t="n">
        <v>456133000000</v>
      </c>
      <c r="C146" s="6" t="n">
        <v>617800000000</v>
      </c>
      <c r="D146" s="8">
        <f>AND(ISNUMBER(B146),ISNUMBER(C146),C146&lt;&gt;0)</f>
        <v/>
      </c>
      <c r="E146" s="8">
        <f>IFERROR(IF(AND(B146&lt;100000000000,(B146-C146)/ABS(C146)&gt;0.5),0,(B146-C146)/ABS(C146)),NA())</f>
        <v/>
      </c>
      <c r="F146" s="8">
        <f>IFERROR(MIN(4,INT((RANK.AVG(E146,$E$9:$E$178,1)-1)*5/COUNT($E$9:$E$178))),NA())</f>
        <v/>
      </c>
    </row>
    <row r="147">
      <c r="A147" s="6" t="inlineStr">
        <is>
          <t>A004170</t>
        </is>
      </c>
      <c r="B147" s="6" t="n">
        <v>647210000000</v>
      </c>
      <c r="C147" s="6" t="n">
        <v>608494000000</v>
      </c>
      <c r="D147" s="8">
        <f>AND(ISNUMBER(B147),ISNUMBER(C147),C147&lt;&gt;0)</f>
        <v/>
      </c>
      <c r="E147" s="8">
        <f>IFERROR(IF(AND(B147&lt;100000000000,(B147-C147)/ABS(C147)&gt;0.5),0,(B147-C147)/ABS(C147)),NA())</f>
        <v/>
      </c>
      <c r="F147" s="8">
        <f>IFERROR(MIN(4,INT((RANK.AVG(E147,$E$9:$E$178,1)-1)*5/COUNT($E$9:$E$178))),NA())</f>
        <v/>
      </c>
    </row>
    <row r="148">
      <c r="A148" s="6" t="inlineStr">
        <is>
          <t>A361610</t>
        </is>
      </c>
      <c r="B148" s="6" t="n">
        <v>-124711000000</v>
      </c>
      <c r="C148" s="6" t="n">
        <v>-168739000000</v>
      </c>
      <c r="D148" s="8">
        <f>AND(ISNUMBER(B148),ISNUMBER(C148),C148&lt;&gt;0)</f>
        <v/>
      </c>
      <c r="E148" s="8">
        <f>IFERROR(IF(AND(B148&lt;100000000000,(B148-C148)/ABS(C148)&gt;0.5),0,(B148-C148)/ABS(C148)),NA())</f>
        <v/>
      </c>
      <c r="F148" s="8">
        <f>IFERROR(MIN(4,INT((RANK.AVG(E148,$E$9:$E$178,1)-1)*5/COUNT($E$9:$E$178))),NA())</f>
        <v/>
      </c>
    </row>
    <row r="149">
      <c r="A149" s="6" t="inlineStr">
        <is>
          <t>A069960</t>
        </is>
      </c>
      <c r="B149" s="6" t="n">
        <v>420957000000</v>
      </c>
      <c r="C149" s="6" t="n">
        <v>427238000000</v>
      </c>
      <c r="D149" s="8">
        <f>AND(ISNUMBER(B149),ISNUMBER(C149),C149&lt;&gt;0)</f>
        <v/>
      </c>
      <c r="E149" s="8">
        <f>IFERROR(IF(AND(B149&lt;100000000000,(B149-C149)/ABS(C149)&gt;0.5),0,(B149-C149)/ABS(C149)),NA())</f>
        <v/>
      </c>
      <c r="F149" s="8">
        <f>IFERROR(MIN(4,INT((RANK.AVG(E149,$E$9:$E$178,1)-1)*5/COUNT($E$9:$E$178))),NA())</f>
        <v/>
      </c>
    </row>
    <row r="150">
      <c r="A150" s="6" t="inlineStr">
        <is>
          <t>A204320</t>
        </is>
      </c>
      <c r="B150" s="6" t="n">
        <v>434444000000</v>
      </c>
      <c r="C150" s="6" t="n">
        <v>445178000000</v>
      </c>
      <c r="D150" s="8">
        <f>AND(ISNUMBER(B150),ISNUMBER(C150),C150&lt;&gt;0)</f>
        <v/>
      </c>
      <c r="E150" s="8">
        <f>IFERROR(IF(AND(B150&lt;100000000000,(B150-C150)/ABS(C150)&gt;0.5),0,(B150-C150)/ABS(C150)),NA())</f>
        <v/>
      </c>
      <c r="F150" s="8">
        <f>IFERROR(MIN(4,INT((RANK.AVG(E150,$E$9:$E$178,1)-1)*5/COUNT($E$9:$E$178))),NA())</f>
        <v/>
      </c>
    </row>
    <row r="151">
      <c r="A151" s="6" t="inlineStr">
        <is>
          <t>A006280</t>
        </is>
      </c>
      <c r="B151" s="6" t="n">
        <v>81747619048</v>
      </c>
      <c r="C151" s="6" t="n">
        <v>101534000000</v>
      </c>
      <c r="D151" s="8">
        <f>AND(ISNUMBER(B151),ISNUMBER(C151),C151&lt;&gt;0)</f>
        <v/>
      </c>
      <c r="E151" s="8">
        <f>IFERROR(IF(AND(B151&lt;100000000000,(B151-C151)/ABS(C151)&gt;0.5),0,(B151-C151)/ABS(C151)),NA())</f>
        <v/>
      </c>
      <c r="F151" s="8">
        <f>IFERROR(MIN(4,INT((RANK.AVG(E151,$E$9:$E$178,1)-1)*5/COUNT($E$9:$E$178))),NA())</f>
        <v/>
      </c>
    </row>
    <row r="152">
      <c r="A152" s="6" t="inlineStr">
        <is>
          <t>A010060</t>
        </is>
      </c>
      <c r="B152" s="6" t="n">
        <v>431879000000</v>
      </c>
      <c r="C152" s="6" t="n">
        <v>398528000000</v>
      </c>
      <c r="D152" s="8">
        <f>AND(ISNUMBER(B152),ISNUMBER(C152),C152&lt;&gt;0)</f>
        <v/>
      </c>
      <c r="E152" s="8">
        <f>IFERROR(IF(AND(B152&lt;100000000000,(B152-C152)/ABS(C152)&gt;0.5),0,(B152-C152)/ABS(C152)),NA())</f>
        <v/>
      </c>
      <c r="F152" s="8">
        <f>IFERROR(MIN(4,INT((RANK.AVG(E152,$E$9:$E$178,1)-1)*5/COUNT($E$9:$E$178))),NA())</f>
        <v/>
      </c>
    </row>
    <row r="153">
      <c r="A153" s="6" t="inlineStr">
        <is>
          <t>A005850</t>
        </is>
      </c>
      <c r="B153" s="6" t="n">
        <v>447947000000</v>
      </c>
      <c r="C153" s="6" t="n">
        <v>443725000000</v>
      </c>
      <c r="D153" s="8">
        <f>AND(ISNUMBER(B153),ISNUMBER(C153),C153&lt;&gt;0)</f>
        <v/>
      </c>
      <c r="E153" s="8">
        <f>IFERROR(IF(AND(B153&lt;100000000000,(B153-C153)/ABS(C153)&gt;0.5),0,(B153-C153)/ABS(C153)),NA())</f>
        <v/>
      </c>
      <c r="F153" s="8">
        <f>IFERROR(MIN(4,INT((RANK.AVG(E153,$E$9:$E$178,1)-1)*5/COUNT($E$9:$E$178))),NA())</f>
        <v/>
      </c>
    </row>
    <row r="154">
      <c r="A154" s="6" t="inlineStr">
        <is>
          <t>A071970</t>
        </is>
      </c>
      <c r="B154" s="6" t="n">
        <v>163978000000</v>
      </c>
      <c r="C154" s="6" t="n">
        <v>156871000000</v>
      </c>
      <c r="D154" s="8">
        <f>AND(ISNUMBER(B154),ISNUMBER(C154),C154&lt;&gt;0)</f>
        <v/>
      </c>
      <c r="E154" s="8">
        <f>IFERROR(IF(AND(B154&lt;100000000000,(B154-C154)/ABS(C154)&gt;0.5),0,(B154-C154)/ABS(C154)),NA())</f>
        <v/>
      </c>
      <c r="F154" s="8">
        <f>IFERROR(MIN(4,INT((RANK.AVG(E154,$E$9:$E$178,1)-1)*5/COUNT($E$9:$E$178))),NA())</f>
        <v/>
      </c>
    </row>
    <row r="155">
      <c r="A155" s="6" t="inlineStr">
        <is>
          <t>A000080</t>
        </is>
      </c>
      <c r="B155" s="6" t="n">
        <v>203178000000</v>
      </c>
      <c r="C155" s="6" t="n">
        <v>206454000000</v>
      </c>
      <c r="D155" s="8">
        <f>AND(ISNUMBER(B155),ISNUMBER(C155),C155&lt;&gt;0)</f>
        <v/>
      </c>
      <c r="E155" s="8">
        <f>IFERROR(IF(AND(B155&lt;100000000000,(B155-C155)/ABS(C155)&gt;0.5),0,(B155-C155)/ABS(C155)),NA())</f>
        <v/>
      </c>
      <c r="F155" s="8">
        <f>IFERROR(MIN(4,INT((RANK.AVG(E155,$E$9:$E$178,1)-1)*5/COUNT($E$9:$E$178))),NA())</f>
        <v/>
      </c>
    </row>
    <row r="156">
      <c r="A156" s="6" t="inlineStr">
        <is>
          <t>A007070</t>
        </is>
      </c>
      <c r="B156" s="6" t="n">
        <v>336670000000</v>
      </c>
      <c r="C156" s="6" t="n">
        <v>328525000000</v>
      </c>
      <c r="D156" s="8">
        <f>AND(ISNUMBER(B156),ISNUMBER(C156),C156&lt;&gt;0)</f>
        <v/>
      </c>
      <c r="E156" s="8">
        <f>IFERROR(IF(AND(B156&lt;100000000000,(B156-C156)/ABS(C156)&gt;0.5),0,(B156-C156)/ABS(C156)),NA())</f>
        <v/>
      </c>
      <c r="F156" s="8">
        <f>IFERROR(MIN(4,INT((RANK.AVG(E156,$E$9:$E$178,1)-1)*5/COUNT($E$9:$E$178))),NA())</f>
        <v/>
      </c>
    </row>
    <row r="157">
      <c r="A157" s="6" t="inlineStr">
        <is>
          <t>A009420</t>
        </is>
      </c>
      <c r="B157" s="6" t="n">
        <v>7773492063</v>
      </c>
      <c r="C157" s="6" t="n">
        <v>3796071429</v>
      </c>
      <c r="D157" s="8">
        <f>AND(ISNUMBER(B157),ISNUMBER(C157),C157&lt;&gt;0)</f>
        <v/>
      </c>
      <c r="E157" s="8">
        <f>IFERROR(IF(AND(B157&lt;100000000000,(B157-C157)/ABS(C157)&gt;0.5),0,(B157-C157)/ABS(C157)),NA())</f>
        <v/>
      </c>
      <c r="F157" s="8">
        <f>IFERROR(MIN(4,INT((RANK.AVG(E157,$E$9:$E$178,1)-1)*5/COUNT($E$9:$E$178))),NA())</f>
        <v/>
      </c>
    </row>
    <row r="158">
      <c r="A158" s="6" t="inlineStr">
        <is>
          <t>A001800</t>
        </is>
      </c>
      <c r="B158" s="6" t="n">
        <v>562267000000</v>
      </c>
      <c r="C158" s="6" t="n">
        <v>559350000000</v>
      </c>
      <c r="D158" s="8">
        <f>AND(ISNUMBER(B158),ISNUMBER(C158),C158&lt;&gt;0)</f>
        <v/>
      </c>
      <c r="E158" s="8">
        <f>IFERROR(IF(AND(B158&lt;100000000000,(B158-C158)/ABS(C158)&gt;0.5),0,(B158-C158)/ABS(C158)),NA())</f>
        <v/>
      </c>
      <c r="F158" s="8">
        <f>IFERROR(MIN(4,INT((RANK.AVG(E158,$E$9:$E$178,1)-1)*5/COUNT($E$9:$E$178))),NA())</f>
        <v/>
      </c>
    </row>
    <row r="159">
      <c r="A159" s="6" t="inlineStr">
        <is>
          <t>A300720</t>
        </is>
      </c>
      <c r="B159" s="6" t="n">
        <v>121567000000</v>
      </c>
      <c r="C159" s="6" t="n">
        <v>118400000000</v>
      </c>
      <c r="D159" s="8">
        <f>AND(ISNUMBER(B159),ISNUMBER(C159),C159&lt;&gt;0)</f>
        <v/>
      </c>
      <c r="E159" s="8">
        <f>IFERROR(IF(AND(B159&lt;100000000000,(B159-C159)/ABS(C159)&gt;0.5),0,(B159-C159)/ABS(C159)),NA())</f>
        <v/>
      </c>
      <c r="F159" s="8">
        <f>IFERROR(MIN(4,INT((RANK.AVG(E159,$E$9:$E$178,1)-1)*5/COUNT($E$9:$E$178))),NA())</f>
        <v/>
      </c>
    </row>
    <row r="160">
      <c r="A160" s="6" t="inlineStr">
        <is>
          <t>A073240</t>
        </is>
      </c>
      <c r="B160" s="6" t="n">
        <v>603906000000</v>
      </c>
      <c r="C160" s="6" t="n">
        <v>648119000000</v>
      </c>
      <c r="D160" s="8">
        <f>AND(ISNUMBER(B160),ISNUMBER(C160),C160&lt;&gt;0)</f>
        <v/>
      </c>
      <c r="E160" s="8">
        <f>IFERROR(IF(AND(B160&lt;100000000000,(B160-C160)/ABS(C160)&gt;0.5),0,(B160-C160)/ABS(C160)),NA())</f>
        <v/>
      </c>
      <c r="F160" s="8">
        <f>IFERROR(MIN(4,INT((RANK.AVG(E160,$E$9:$E$178,1)-1)*5/COUNT($E$9:$E$178))),NA())</f>
        <v/>
      </c>
    </row>
    <row r="161">
      <c r="A161" s="6" t="inlineStr">
        <is>
          <t>A034230</t>
        </is>
      </c>
      <c r="B161" s="6" t="n">
        <v>211673000000</v>
      </c>
      <c r="C161" s="6" t="n">
        <v>216042000000</v>
      </c>
      <c r="D161" s="8">
        <f>AND(ISNUMBER(B161),ISNUMBER(C161),C161&lt;&gt;0)</f>
        <v/>
      </c>
      <c r="E161" s="8">
        <f>IFERROR(IF(AND(B161&lt;100000000000,(B161-C161)/ABS(C161)&gt;0.5),0,(B161-C161)/ABS(C161)),NA())</f>
        <v/>
      </c>
      <c r="F161" s="8">
        <f>IFERROR(MIN(4,INT((RANK.AVG(E161,$E$9:$E$178,1)-1)*5/COUNT($E$9:$E$178))),NA())</f>
        <v/>
      </c>
    </row>
    <row r="162">
      <c r="A162" s="6" t="inlineStr">
        <is>
          <t>A011210</t>
        </is>
      </c>
      <c r="B162" s="6" t="n">
        <v>262533000000</v>
      </c>
      <c r="C162" s="6" t="n">
        <v>261767000000</v>
      </c>
      <c r="D162" s="8">
        <f>AND(ISNUMBER(B162),ISNUMBER(C162),C162&lt;&gt;0)</f>
        <v/>
      </c>
      <c r="E162" s="8">
        <f>IFERROR(IF(AND(B162&lt;100000000000,(B162-C162)/ABS(C162)&gt;0.5),0,(B162-C162)/ABS(C162)),NA())</f>
        <v/>
      </c>
      <c r="F162" s="8">
        <f>IFERROR(MIN(4,INT((RANK.AVG(E162,$E$9:$E$178,1)-1)*5/COUNT($E$9:$E$178))),NA())</f>
        <v/>
      </c>
    </row>
    <row r="163">
      <c r="A163" s="6" t="inlineStr">
        <is>
          <t>A185750</t>
        </is>
      </c>
      <c r="B163" s="6" t="n">
        <v>86606666667</v>
      </c>
      <c r="C163" s="6" t="n">
        <v>84875000000</v>
      </c>
      <c r="D163" s="8">
        <f>AND(ISNUMBER(B163),ISNUMBER(C163),C163&lt;&gt;0)</f>
        <v/>
      </c>
      <c r="E163" s="8">
        <f>IFERROR(IF(AND(B163&lt;100000000000,(B163-C163)/ABS(C163)&gt;0.5),0,(B163-C163)/ABS(C163)),NA())</f>
        <v/>
      </c>
      <c r="F163" s="8">
        <f>IFERROR(MIN(4,INT((RANK.AVG(E163,$E$9:$E$178,1)-1)*5/COUNT($E$9:$E$178))),NA())</f>
        <v/>
      </c>
    </row>
    <row r="164">
      <c r="A164" s="6" t="inlineStr">
        <is>
          <t>A280360</t>
        </is>
      </c>
      <c r="B164" s="6" t="n">
        <v>183852000000</v>
      </c>
      <c r="C164" s="6" t="n">
        <v>185283000000</v>
      </c>
      <c r="D164" s="8">
        <f>AND(ISNUMBER(B164),ISNUMBER(C164),C164&lt;&gt;0)</f>
        <v/>
      </c>
      <c r="E164" s="8">
        <f>IFERROR(IF(AND(B164&lt;100000000000,(B164-C164)/ABS(C164)&gt;0.5),0,(B164-C164)/ABS(C164)),NA())</f>
        <v/>
      </c>
      <c r="F164" s="8">
        <f>IFERROR(MIN(4,INT((RANK.AVG(E164,$E$9:$E$178,1)-1)*5/COUNT($E$9:$E$178))),NA())</f>
        <v/>
      </c>
    </row>
    <row r="165">
      <c r="A165" s="6" t="inlineStr">
        <is>
          <t>A298020</t>
        </is>
      </c>
      <c r="B165" s="6" t="n">
        <v>506767000000</v>
      </c>
      <c r="C165" s="6" t="n">
        <v>358071000000</v>
      </c>
      <c r="D165" s="8">
        <f>AND(ISNUMBER(B165),ISNUMBER(C165),C165&lt;&gt;0)</f>
        <v/>
      </c>
      <c r="E165" s="8">
        <f>IFERROR(IF(AND(B165&lt;100000000000,(B165-C165)/ABS(C165)&gt;0.5),0,(B165-C165)/ABS(C165)),NA())</f>
        <v/>
      </c>
      <c r="F165" s="8">
        <f>IFERROR(MIN(4,INT((RANK.AVG(E165,$E$9:$E$178,1)-1)*5/COUNT($E$9:$E$178))),NA())</f>
        <v/>
      </c>
    </row>
    <row r="166">
      <c r="A166" s="6" t="inlineStr">
        <is>
          <t>A005300</t>
        </is>
      </c>
      <c r="B166" s="6" t="n">
        <v>213707000000</v>
      </c>
      <c r="C166" s="6" t="n">
        <v>215360000000</v>
      </c>
      <c r="D166" s="8">
        <f>AND(ISNUMBER(B166),ISNUMBER(C166),C166&lt;&gt;0)</f>
        <v/>
      </c>
      <c r="E166" s="8">
        <f>IFERROR(IF(AND(B166&lt;100000000000,(B166-C166)/ABS(C166)&gt;0.5),0,(B166-C166)/ABS(C166)),NA())</f>
        <v/>
      </c>
      <c r="F166" s="8">
        <f>IFERROR(MIN(4,INT((RANK.AVG(E166,$E$9:$E$178,1)-1)*5/COUNT($E$9:$E$178))),NA())</f>
        <v/>
      </c>
    </row>
    <row r="167">
      <c r="A167" s="6" t="inlineStr">
        <is>
          <t>A017960</t>
        </is>
      </c>
      <c r="B167" s="6" t="n">
        <v>169927000000</v>
      </c>
      <c r="C167" s="6" t="n">
        <v>168230000000</v>
      </c>
      <c r="D167" s="8">
        <f>AND(ISNUMBER(B167),ISNUMBER(C167),C167&lt;&gt;0)</f>
        <v/>
      </c>
      <c r="E167" s="8">
        <f>IFERROR(IF(AND(B167&lt;100000000000,(B167-C167)/ABS(C167)&gt;0.5),0,(B167-C167)/ABS(C167)),NA())</f>
        <v/>
      </c>
      <c r="F167" s="8">
        <f>IFERROR(MIN(4,INT((RANK.AVG(E167,$E$9:$E$178,1)-1)*5/COUNT($E$9:$E$178))),NA())</f>
        <v/>
      </c>
    </row>
    <row r="168">
      <c r="A168" s="6" t="inlineStr">
        <is>
          <t>A192080</t>
        </is>
      </c>
      <c r="B168" s="6" t="n">
        <v>279182000000</v>
      </c>
      <c r="C168" s="6" t="n">
        <v>269216000000</v>
      </c>
      <c r="D168" s="8">
        <f>AND(ISNUMBER(B168),ISNUMBER(C168),C168&lt;&gt;0)</f>
        <v/>
      </c>
      <c r="E168" s="8">
        <f>IFERROR(IF(AND(B168&lt;100000000000,(B168-C168)/ABS(C168)&gt;0.5),0,(B168-C168)/ABS(C168)),NA())</f>
        <v/>
      </c>
      <c r="F168" s="8">
        <f>IFERROR(MIN(4,INT((RANK.AVG(E168,$E$9:$E$178,1)-1)*5/COUNT($E$9:$E$178))),NA())</f>
        <v/>
      </c>
    </row>
    <row r="169">
      <c r="A169" s="6" t="inlineStr">
        <is>
          <t>A009240</t>
        </is>
      </c>
      <c r="B169" s="6" t="n">
        <v>34673333333</v>
      </c>
      <c r="C169" s="6" t="n">
        <v>32680000000</v>
      </c>
      <c r="D169" s="8">
        <f>AND(ISNUMBER(B169),ISNUMBER(C169),C169&lt;&gt;0)</f>
        <v/>
      </c>
      <c r="E169" s="8">
        <f>IFERROR(IF(AND(B169&lt;100000000000,(B169-C169)/ABS(C169)&gt;0.5),0,(B169-C169)/ABS(C169)),NA())</f>
        <v/>
      </c>
      <c r="F169" s="8">
        <f>IFERROR(MIN(4,INT((RANK.AVG(E169,$E$9:$E$178,1)-1)*5/COUNT($E$9:$E$178))),NA())</f>
        <v/>
      </c>
    </row>
    <row r="170">
      <c r="A170" s="6" t="inlineStr">
        <is>
          <t>A285130</t>
        </is>
      </c>
      <c r="B170" s="6" t="n">
        <v>97783333333</v>
      </c>
      <c r="C170" s="6" t="n">
        <v>85612500000</v>
      </c>
      <c r="D170" s="8">
        <f>AND(ISNUMBER(B170),ISNUMBER(C170),C170&lt;&gt;0)</f>
        <v/>
      </c>
      <c r="E170" s="8">
        <f>IFERROR(IF(AND(B170&lt;100000000000,(B170-C170)/ABS(C170)&gt;0.5),0,(B170-C170)/ABS(C170)),NA())</f>
        <v/>
      </c>
      <c r="F170" s="8">
        <f>IFERROR(MIN(4,INT((RANK.AVG(E170,$E$9:$E$178,1)-1)*5/COUNT($E$9:$E$178))),NA())</f>
        <v/>
      </c>
    </row>
    <row r="171">
      <c r="A171" s="6" t="inlineStr">
        <is>
          <t>A004000</t>
        </is>
      </c>
      <c r="B171" s="6" t="n">
        <v>147252000000</v>
      </c>
      <c r="C171" s="6" t="n">
        <v>133557000000</v>
      </c>
      <c r="D171" s="8">
        <f>AND(ISNUMBER(B171),ISNUMBER(C171),C171&lt;&gt;0)</f>
        <v/>
      </c>
      <c r="E171" s="8">
        <f>IFERROR(IF(AND(B171&lt;100000000000,(B171-C171)/ABS(C171)&gt;0.5),0,(B171-C171)/ABS(C171)),NA())</f>
        <v/>
      </c>
      <c r="F171" s="8">
        <f>IFERROR(MIN(4,INT((RANK.AVG(E171,$E$9:$E$178,1)-1)*5/COUNT($E$9:$E$178))),NA())</f>
        <v/>
      </c>
    </row>
    <row r="172">
      <c r="A172" s="6" t="inlineStr">
        <is>
          <t>A000210</t>
        </is>
      </c>
      <c r="B172" s="6" t="n">
        <v>508883000000</v>
      </c>
      <c r="C172" s="6" t="n">
        <v>540250000000</v>
      </c>
      <c r="D172" s="8">
        <f>AND(ISNUMBER(B172),ISNUMBER(C172),C172&lt;&gt;0)</f>
        <v/>
      </c>
      <c r="E172" s="8">
        <f>IFERROR(IF(AND(B172&lt;100000000000,(B172-C172)/ABS(C172)&gt;0.5),0,(B172-C172)/ABS(C172)),NA())</f>
        <v/>
      </c>
      <c r="F172" s="8">
        <f>IFERROR(MIN(4,INT((RANK.AVG(E172,$E$9:$E$178,1)-1)*5/COUNT($E$9:$E$178))),NA())</f>
        <v/>
      </c>
    </row>
    <row r="173">
      <c r="A173" s="6" t="inlineStr">
        <is>
          <t>A120110</t>
        </is>
      </c>
      <c r="B173" s="6" t="n">
        <v>220311000000</v>
      </c>
      <c r="C173" s="6" t="n">
        <v>219475000000</v>
      </c>
      <c r="D173" s="8">
        <f>AND(ISNUMBER(B173),ISNUMBER(C173),C173&lt;&gt;0)</f>
        <v/>
      </c>
      <c r="E173" s="8">
        <f>IFERROR(IF(AND(B173&lt;100000000000,(B173-C173)/ABS(C173)&gt;0.5),0,(B173-C173)/ABS(C173)),NA())</f>
        <v/>
      </c>
      <c r="F173" s="8">
        <f>IFERROR(MIN(4,INT((RANK.AVG(E173,$E$9:$E$178,1)-1)*5/COUNT($E$9:$E$178))),NA())</f>
        <v/>
      </c>
    </row>
    <row r="174">
      <c r="A174" s="6" t="inlineStr">
        <is>
          <t>A114090</t>
        </is>
      </c>
      <c r="B174" s="6" t="n">
        <v>64200000000</v>
      </c>
      <c r="C174" s="6" t="n">
        <v>65667857143</v>
      </c>
      <c r="D174" s="8">
        <f>AND(ISNUMBER(B174),ISNUMBER(C174),C174&lt;&gt;0)</f>
        <v/>
      </c>
      <c r="E174" s="8">
        <f>IFERROR(IF(AND(B174&lt;100000000000,(B174-C174)/ABS(C174)&gt;0.5),0,(B174-C174)/ABS(C174)),NA())</f>
        <v/>
      </c>
      <c r="F174" s="8">
        <f>IFERROR(MIN(4,INT((RANK.AVG(E174,$E$9:$E$178,1)-1)*5/COUNT($E$9:$E$178))),NA())</f>
        <v/>
      </c>
    </row>
    <row r="175">
      <c r="A175" s="6" t="inlineStr">
        <is>
          <t>A071320</t>
        </is>
      </c>
      <c r="B175" s="6" t="n">
        <v>328211000000</v>
      </c>
      <c r="C175" s="6" t="n">
        <v>327917000000</v>
      </c>
      <c r="D175" s="8">
        <f>AND(ISNUMBER(B175),ISNUMBER(C175),C175&lt;&gt;0)</f>
        <v/>
      </c>
      <c r="E175" s="8">
        <f>IFERROR(IF(AND(B175&lt;100000000000,(B175-C175)/ABS(C175)&gt;0.5),0,(B175-C175)/ABS(C175)),NA())</f>
        <v/>
      </c>
      <c r="F175" s="8">
        <f>IFERROR(MIN(4,INT((RANK.AVG(E175,$E$9:$E$178,1)-1)*5/COUNT($E$9:$E$178))),NA())</f>
        <v/>
      </c>
    </row>
    <row r="176">
      <c r="A176" s="6" t="inlineStr">
        <is>
          <t>A298050</t>
        </is>
      </c>
      <c r="B176" s="6" t="n">
        <v>221781000000</v>
      </c>
      <c r="C176" s="6" t="n">
        <v>215971000000</v>
      </c>
      <c r="D176" s="8">
        <f>AND(ISNUMBER(B176),ISNUMBER(C176),C176&lt;&gt;0)</f>
        <v/>
      </c>
      <c r="E176" s="8">
        <f>IFERROR(IF(AND(B176&lt;100000000000,(B176-C176)/ABS(C176)&gt;0.5),0,(B176-C176)/ABS(C176)),NA())</f>
        <v/>
      </c>
      <c r="F176" s="8">
        <f>IFERROR(MIN(4,INT((RANK.AVG(E176,$E$9:$E$178,1)-1)*5/COUNT($E$9:$E$178))),NA())</f>
        <v/>
      </c>
    </row>
    <row r="177">
      <c r="A177" s="6" t="inlineStr">
        <is>
          <t>A001430</t>
        </is>
      </c>
      <c r="B177" s="6" t="n">
        <v>154767000000</v>
      </c>
      <c r="C177" s="6" t="n">
        <v>159558000000</v>
      </c>
      <c r="D177" s="8">
        <f>AND(ISNUMBER(B177),ISNUMBER(C177),C177&lt;&gt;0)</f>
        <v/>
      </c>
      <c r="E177" s="8">
        <f>IFERROR(IF(AND(B177&lt;100000000000,(B177-C177)/ABS(C177)&gt;0.5),0,(B177-C177)/ABS(C177)),NA())</f>
        <v/>
      </c>
      <c r="F177" s="8">
        <f>IFERROR(MIN(4,INT((RANK.AVG(E177,$E$9:$E$178,1)-1)*5/COUNT($E$9:$E$178))),NA())</f>
        <v/>
      </c>
    </row>
    <row r="178">
      <c r="A178" s="6" t="inlineStr">
        <is>
          <t>A006650</t>
        </is>
      </c>
      <c r="B178" s="6" t="n">
        <v>222439000000</v>
      </c>
      <c r="C178" s="6" t="n">
        <v>198335000000</v>
      </c>
      <c r="D178" s="8">
        <f>AND(ISNUMBER(B178),ISNUMBER(C178),C178&lt;&gt;0)</f>
        <v/>
      </c>
      <c r="E178" s="8">
        <f>IFERROR(IF(AND(B178&lt;100000000000,(B178-C178)/ABS(C178)&gt;0.5),0,(B178-C178)/ABS(C178)),NA())</f>
        <v/>
      </c>
      <c r="F178" s="8">
        <f>IFERROR(MIN(4,INT((RANK.AVG(E178,$E$9:$E$178,1)-1)*5/COUNT($E$9:$E$178))),NA())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dividend_yield 계산 과정</t>
        </is>
      </c>
    </row>
    <row r="2">
      <c r="A2" t="inlineStr">
        <is>
          <t>신호일</t>
        </is>
      </c>
      <c r="B2" s="2" t="n">
        <v>46142</v>
      </c>
      <c r="C2" t="inlineStr">
        <is>
          <t>공통 signal_date 수</t>
        </is>
      </c>
      <c r="D2" t="n">
        <v>301</v>
      </c>
    </row>
    <row r="3"/>
    <row r="4">
      <c r="A4" s="3" t="inlineStr">
        <is>
          <t>종목명</t>
        </is>
      </c>
      <c r="B4" s="3" t="inlineStr">
        <is>
          <t>티커</t>
        </is>
      </c>
      <c r="C4" s="3" t="inlineStr">
        <is>
          <t>DPS_TTM</t>
        </is>
      </c>
      <c r="D4" s="3" t="inlineStr">
        <is>
          <t>종가</t>
        </is>
      </c>
      <c r="E4" s="3" t="inlineStr">
        <is>
          <t>배당수익률 수식</t>
        </is>
      </c>
      <c r="F4" s="3" t="inlineStr">
        <is>
          <t>bonus 수식</t>
        </is>
      </c>
      <c r="G4" s="3" t="inlineStr">
        <is>
          <t>score 수식</t>
        </is>
      </c>
      <c r="H4" s="3" t="inlineStr">
        <is>
          <t>score 코드</t>
        </is>
      </c>
    </row>
    <row r="5">
      <c r="A5" t="inlineStr">
        <is>
          <t>삼성전자</t>
        </is>
      </c>
      <c r="B5" t="inlineStr">
        <is>
          <t>A005930</t>
        </is>
      </c>
      <c r="C5" t="n">
        <v>1675</v>
      </c>
      <c r="D5" t="n">
        <v>220500</v>
      </c>
      <c r="E5" s="4">
        <f>IFERROR(C5/D5,NA())</f>
        <v/>
      </c>
      <c r="F5" s="4">
        <f>IF(AND(98094.37&lt;98094.37,98094.37&lt;98087.28),1,0)</f>
        <v/>
      </c>
      <c r="G5" s="4">
        <f>IFERROR(MIN(4,INT((RANK.AVG(E5,$D$9:$D$207,1)-1)*5/COUNT($D$9:$D$207)))+F5,NA())</f>
        <v/>
      </c>
      <c r="H5" t="n">
        <v>1</v>
      </c>
    </row>
    <row r="6">
      <c r="A6" t="inlineStr">
        <is>
          <t>SK하이닉스</t>
        </is>
      </c>
      <c r="B6" t="inlineStr">
        <is>
          <t>A000660</t>
        </is>
      </c>
      <c r="C6" t="n">
        <v>3000</v>
      </c>
      <c r="D6" t="n">
        <v>1286000</v>
      </c>
      <c r="E6" s="4">
        <f>IFERROR(C6/D6,NA())</f>
        <v/>
      </c>
      <c r="F6" s="4">
        <f>IF(AND(8255.75&lt;8263.23,8263.23&lt;16774.42),1,0)</f>
        <v/>
      </c>
      <c r="G6" s="4">
        <f>IFERROR(MIN(4,INT((RANK.AVG(E6,$D$9:$D$207,1)-1)*5/COUNT($D$9:$D$207)))+F6,NA())</f>
        <v/>
      </c>
      <c r="H6" t="n">
        <v>2</v>
      </c>
    </row>
    <row r="7"/>
    <row r="8">
      <c r="A8" s="5" t="inlineStr">
        <is>
          <t>티커</t>
        </is>
      </c>
      <c r="B8" s="5" t="inlineStr">
        <is>
          <t>DPS_TTM</t>
        </is>
      </c>
      <c r="C8" s="5" t="inlineStr">
        <is>
          <t>종가</t>
        </is>
      </c>
      <c r="D8" s="5" t="inlineStr">
        <is>
          <t>배당수익률 수식</t>
        </is>
      </c>
      <c r="E8" s="5" t="inlineStr">
        <is>
          <t>연도1배당</t>
        </is>
      </c>
      <c r="F8" s="5" t="inlineStr">
        <is>
          <t>연도2배당</t>
        </is>
      </c>
      <c r="G8" s="5" t="inlineStr">
        <is>
          <t>연도3배당</t>
        </is>
      </c>
      <c r="H8" s="5" t="inlineStr">
        <is>
          <t>bonus 수식</t>
        </is>
      </c>
      <c r="I8" s="5" t="inlineStr">
        <is>
          <t>score 수식</t>
        </is>
      </c>
    </row>
    <row r="9">
      <c r="A9" s="6" t="inlineStr">
        <is>
          <t>A005930</t>
        </is>
      </c>
      <c r="B9" s="6" t="n">
        <v>1675</v>
      </c>
      <c r="C9" s="6" t="n">
        <v>220500</v>
      </c>
      <c r="D9" s="8">
        <f>IFERROR(B9/C9,NA())</f>
        <v/>
      </c>
      <c r="E9" s="6" t="n">
        <v>98094.37</v>
      </c>
      <c r="F9" s="6" t="n">
        <v>98094.37</v>
      </c>
      <c r="G9" s="6" t="n">
        <v>98087.28</v>
      </c>
      <c r="H9" s="8">
        <f>IF(AND(E9&lt;F9,F9&lt;G9),1,0)</f>
        <v/>
      </c>
      <c r="I9" s="8">
        <f>IFERROR(MIN(4,INT((RANK.AVG(D9,$D$9:$D$207,1)-1)*5/COUNT($D$9:$D$207)))+H9,NA())</f>
        <v/>
      </c>
    </row>
    <row r="10">
      <c r="A10" s="6" t="inlineStr">
        <is>
          <t>A000660</t>
        </is>
      </c>
      <c r="B10" s="6" t="n">
        <v>3000</v>
      </c>
      <c r="C10" s="6" t="n">
        <v>1286000</v>
      </c>
      <c r="D10" s="8">
        <f>IFERROR(B10/C10,NA())</f>
        <v/>
      </c>
      <c r="E10" s="6" t="n">
        <v>8255.75</v>
      </c>
      <c r="F10" s="6" t="n">
        <v>8263.23</v>
      </c>
      <c r="G10" s="6" t="n">
        <v>16774.42</v>
      </c>
      <c r="H10" s="8">
        <f>IF(AND(E10&lt;F10,F10&lt;G10),1,0)</f>
        <v/>
      </c>
      <c r="I10" s="8">
        <f>IFERROR(MIN(4,INT((RANK.AVG(D10,$D$9:$D$207,1)-1)*5/COUNT($D$9:$D$207)))+H10,NA())</f>
        <v/>
      </c>
    </row>
    <row r="11">
      <c r="A11" s="6" t="inlineStr">
        <is>
          <t>A207940</t>
        </is>
      </c>
      <c r="B11" s="6" t="n">
        <v>0</v>
      </c>
      <c r="C11" s="6" t="n">
        <v>1470000</v>
      </c>
      <c r="D11" s="8">
        <f>IFERROR(B11/C11,NA())</f>
        <v/>
      </c>
      <c r="E11" s="6" t="n">
        <v>0</v>
      </c>
      <c r="F11" s="6" t="n">
        <v>0</v>
      </c>
      <c r="G11" s="6" t="n">
        <v>0</v>
      </c>
      <c r="H11" s="8">
        <f>IF(AND(E11&lt;F11,F11&lt;G11),1,0)</f>
        <v/>
      </c>
      <c r="I11" s="8">
        <f>IFERROR(MIN(4,INT((RANK.AVG(D11,$D$9:$D$207,1)-1)*5/COUNT($D$9:$D$207)))+H11,NA())</f>
        <v/>
      </c>
    </row>
    <row r="12">
      <c r="A12" s="6" t="inlineStr">
        <is>
          <t>A373220</t>
        </is>
      </c>
      <c r="B12" s="6" t="n">
        <v>0</v>
      </c>
      <c r="C12" s="6" t="n">
        <v>460500</v>
      </c>
      <c r="D12" s="8">
        <f>IFERROR(B12/C12,NA())</f>
        <v/>
      </c>
      <c r="E12" s="6" t="n">
        <v>0</v>
      </c>
      <c r="F12" s="6" t="n">
        <v>0</v>
      </c>
      <c r="G12" s="6" t="n">
        <v>0</v>
      </c>
      <c r="H12" s="8">
        <f>IF(AND(E12&lt;F12,F12&lt;G12),1,0)</f>
        <v/>
      </c>
      <c r="I12" s="8">
        <f>IFERROR(MIN(4,INT((RANK.AVG(D12,$D$9:$D$207,1)-1)*5/COUNT($D$9:$D$207)))+H12,NA())</f>
        <v/>
      </c>
    </row>
    <row r="13">
      <c r="A13" s="6" t="inlineStr">
        <is>
          <t>A012450</t>
        </is>
      </c>
      <c r="B13" s="6" t="n">
        <v>7000</v>
      </c>
      <c r="C13" s="6" t="n">
        <v>1417000</v>
      </c>
      <c r="D13" s="8">
        <f>IFERROR(B13/C13,NA())</f>
        <v/>
      </c>
      <c r="E13" s="6" t="n">
        <v>505.69</v>
      </c>
      <c r="F13" s="6" t="n">
        <v>910.25</v>
      </c>
      <c r="G13" s="6" t="n">
        <v>1591.33</v>
      </c>
      <c r="H13" s="8">
        <f>IF(AND(E13&lt;F13,F13&lt;G13),1,0)</f>
        <v/>
      </c>
      <c r="I13" s="8">
        <f>IFERROR(MIN(4,INT((RANK.AVG(D13,$D$9:$D$207,1)-1)*5/COUNT($D$9:$D$207)))+H13,NA())</f>
        <v/>
      </c>
    </row>
    <row r="14">
      <c r="A14" s="6" t="inlineStr">
        <is>
          <t>A005380</t>
        </is>
      </c>
      <c r="B14" s="6" t="n">
        <v>10000</v>
      </c>
      <c r="C14" s="6" t="n">
        <v>531000</v>
      </c>
      <c r="D14" s="8">
        <f>IFERROR(B14/C14,NA())</f>
        <v/>
      </c>
      <c r="E14" s="6" t="n">
        <v>23583.16</v>
      </c>
      <c r="F14" s="6" t="n">
        <v>37943.3</v>
      </c>
      <c r="G14" s="6" t="n">
        <v>35244.92</v>
      </c>
      <c r="H14" s="8">
        <f>IF(AND(E14&lt;F14,F14&lt;G14),1,0)</f>
        <v/>
      </c>
      <c r="I14" s="8">
        <f>IFERROR(MIN(4,INT((RANK.AVG(D14,$D$9:$D$207,1)-1)*5/COUNT($D$9:$D$207)))+H14,NA())</f>
        <v/>
      </c>
    </row>
    <row r="15">
      <c r="A15" s="6" t="inlineStr">
        <is>
          <t>A105560</t>
        </is>
      </c>
      <c r="B15" s="6" t="n">
        <v>4598</v>
      </c>
      <c r="C15" s="6" t="n">
        <v>160500</v>
      </c>
      <c r="D15" s="8">
        <f>IFERROR(B15/C15,NA())</f>
        <v/>
      </c>
      <c r="E15" s="6" t="n">
        <v>11519.01</v>
      </c>
      <c r="F15" s="6" t="n">
        <v>14793.28</v>
      </c>
      <c r="G15" s="6" t="n">
        <v>13060.12</v>
      </c>
      <c r="H15" s="8">
        <f>IF(AND(E15&lt;F15,F15&lt;G15),1,0)</f>
        <v/>
      </c>
      <c r="I15" s="8">
        <f>IFERROR(MIN(4,INT((RANK.AVG(D15,$D$9:$D$207,1)-1)*5/COUNT($D$9:$D$207)))+H15,NA())</f>
        <v/>
      </c>
    </row>
    <row r="16">
      <c r="A16" s="6" t="inlineStr">
        <is>
          <t>A000270</t>
        </is>
      </c>
      <c r="B16" s="6" t="n">
        <v>6800</v>
      </c>
      <c r="C16" s="6" t="n">
        <v>151800</v>
      </c>
      <c r="D16" s="8">
        <f>IFERROR(B16/C16,NA())</f>
        <v/>
      </c>
      <c r="E16" s="6" t="n">
        <v>14032.56</v>
      </c>
      <c r="F16" s="6" t="n">
        <v>21942.77</v>
      </c>
      <c r="G16" s="6" t="n">
        <v>25590.45</v>
      </c>
      <c r="H16" s="8">
        <f>IF(AND(E16&lt;F16,F16&lt;G16),1,0)</f>
        <v/>
      </c>
      <c r="I16" s="8">
        <f>IFERROR(MIN(4,INT((RANK.AVG(D16,$D$9:$D$207,1)-1)*5/COUNT($D$9:$D$207)))+H16,NA())</f>
        <v/>
      </c>
    </row>
    <row r="17">
      <c r="A17" s="6" t="inlineStr">
        <is>
          <t>A329180</t>
        </is>
      </c>
      <c r="B17" s="6" t="n">
        <v>5661</v>
      </c>
      <c r="C17" s="6" t="n">
        <v>685000</v>
      </c>
      <c r="D17" s="8">
        <f>IFERROR(B17/C17,NA())</f>
        <v/>
      </c>
      <c r="E17" s="6" t="n">
        <v>0</v>
      </c>
      <c r="F17" s="6" t="n">
        <v>0</v>
      </c>
      <c r="G17" s="6" t="n">
        <v>3338.76</v>
      </c>
      <c r="H17" s="8">
        <f>IF(AND(E17&lt;F17,F17&lt;G17),1,0)</f>
        <v/>
      </c>
      <c r="I17" s="8">
        <f>IFERROR(MIN(4,INT((RANK.AVG(D17,$D$9:$D$207,1)-1)*5/COUNT($D$9:$D$207)))+H17,NA())</f>
        <v/>
      </c>
    </row>
    <row r="18">
      <c r="A18" s="6" t="inlineStr">
        <is>
          <t>A068270</t>
        </is>
      </c>
      <c r="B18" s="6" t="n">
        <v>750</v>
      </c>
      <c r="C18" s="6" t="n">
        <v>200500</v>
      </c>
      <c r="D18" s="8">
        <f>IFERROR(B18/C18,NA())</f>
        <v/>
      </c>
      <c r="E18" s="6" t="n">
        <v>516.72</v>
      </c>
      <c r="F18" s="6" t="n">
        <v>1036.04</v>
      </c>
      <c r="G18" s="6" t="n">
        <v>1537.73</v>
      </c>
      <c r="H18" s="8">
        <f>IF(AND(E18&lt;F18,F18&lt;G18),1,0)</f>
        <v/>
      </c>
      <c r="I18" s="8">
        <f>IFERROR(MIN(4,INT((RANK.AVG(D18,$D$9:$D$207,1)-1)*5/COUNT($D$9:$D$207)))+H18,NA())</f>
        <v/>
      </c>
    </row>
    <row r="19">
      <c r="A19" s="6" t="inlineStr">
        <is>
          <t>A034020</t>
        </is>
      </c>
      <c r="B19" s="6" t="n">
        <v>0</v>
      </c>
      <c r="C19" s="6" t="n">
        <v>127100</v>
      </c>
      <c r="D19" s="8">
        <f>IFERROR(B19/C19,NA())</f>
        <v/>
      </c>
      <c r="E19" s="6" t="n">
        <v>0</v>
      </c>
      <c r="F19" s="6" t="n">
        <v>0</v>
      </c>
      <c r="G19" s="6" t="n">
        <v>0</v>
      </c>
      <c r="H19" s="8">
        <f>IF(AND(E19&lt;F19,F19&lt;G19),1,0)</f>
        <v/>
      </c>
      <c r="I19" s="8">
        <f>IFERROR(MIN(4,INT((RANK.AVG(D19,$D$9:$D$207,1)-1)*5/COUNT($D$9:$D$207)))+H19,NA())</f>
        <v/>
      </c>
    </row>
    <row r="20">
      <c r="A20" s="6" t="inlineStr">
        <is>
          <t>A035420</t>
        </is>
      </c>
      <c r="B20" s="6" t="n">
        <v>2630</v>
      </c>
      <c r="C20" s="6" t="n">
        <v>211000</v>
      </c>
      <c r="D20" s="8">
        <f>IFERROR(B20/C20,NA())</f>
        <v/>
      </c>
      <c r="E20" s="6" t="n">
        <v>623.98</v>
      </c>
      <c r="F20" s="6" t="n">
        <v>1189.85</v>
      </c>
      <c r="G20" s="6" t="n">
        <v>1684.37</v>
      </c>
      <c r="H20" s="8">
        <f>IF(AND(E20&lt;F20,F20&lt;G20),1,0)</f>
        <v/>
      </c>
      <c r="I20" s="8">
        <f>IFERROR(MIN(4,INT((RANK.AVG(D20,$D$9:$D$207,1)-1)*5/COUNT($D$9:$D$207)))+H20,NA())</f>
        <v/>
      </c>
    </row>
    <row r="21">
      <c r="A21" s="6" t="inlineStr">
        <is>
          <t>A055550</t>
        </is>
      </c>
      <c r="B21" s="6" t="n">
        <v>2760</v>
      </c>
      <c r="C21" s="6" t="n">
        <v>99900</v>
      </c>
      <c r="D21" s="8">
        <f>IFERROR(B21/C21,NA())</f>
        <v/>
      </c>
      <c r="E21" s="6" t="n">
        <v>12723.37</v>
      </c>
      <c r="F21" s="6" t="n">
        <v>10894.83</v>
      </c>
      <c r="G21" s="6" t="n">
        <v>10965.53</v>
      </c>
      <c r="H21" s="8">
        <f>IF(AND(E21&lt;F21,F21&lt;G21),1,0)</f>
        <v/>
      </c>
      <c r="I21" s="8">
        <f>IFERROR(MIN(4,INT((RANK.AVG(D21,$D$9:$D$207,1)-1)*5/COUNT($D$9:$D$207)))+H21,NA())</f>
        <v/>
      </c>
    </row>
    <row r="22">
      <c r="A22" s="6" t="inlineStr">
        <is>
          <t>A028260</t>
        </is>
      </c>
      <c r="B22" s="6" t="n">
        <v>2800</v>
      </c>
      <c r="C22" s="6" t="n">
        <v>298500</v>
      </c>
      <c r="D22" s="8">
        <f>IFERROR(B22/C22,NA())</f>
        <v/>
      </c>
      <c r="E22" s="6" t="n">
        <v>3764.37</v>
      </c>
      <c r="F22" s="6" t="n">
        <v>4173.47</v>
      </c>
      <c r="G22" s="6" t="n">
        <v>4255.25</v>
      </c>
      <c r="H22" s="8">
        <f>IF(AND(E22&lt;F22,F22&lt;G22),1,0)</f>
        <v/>
      </c>
      <c r="I22" s="8">
        <f>IFERROR(MIN(4,INT((RANK.AVG(D22,$D$9:$D$207,1)-1)*5/COUNT($D$9:$D$207)))+H22,NA())</f>
        <v/>
      </c>
    </row>
    <row r="23">
      <c r="A23" s="6" t="inlineStr">
        <is>
          <t>A012330</t>
        </is>
      </c>
      <c r="B23" s="6" t="n">
        <v>6500</v>
      </c>
      <c r="C23" s="6" t="n">
        <v>425000</v>
      </c>
      <c r="D23" s="8">
        <f>IFERROR(B23/C23,NA())</f>
        <v/>
      </c>
      <c r="E23" s="6" t="n">
        <v>3671.57</v>
      </c>
      <c r="F23" s="6" t="n">
        <v>4062.19</v>
      </c>
      <c r="G23" s="6" t="n">
        <v>5833.83</v>
      </c>
      <c r="H23" s="8">
        <f>IF(AND(E23&lt;F23,F23&lt;G23),1,0)</f>
        <v/>
      </c>
      <c r="I23" s="8">
        <f>IFERROR(MIN(4,INT((RANK.AVG(D23,$D$9:$D$207,1)-1)*5/COUNT($D$9:$D$207)))+H23,NA())</f>
        <v/>
      </c>
    </row>
    <row r="24">
      <c r="A24" s="6" t="inlineStr">
        <is>
          <t>A032830</t>
        </is>
      </c>
      <c r="B24" s="6" t="n">
        <v>5300</v>
      </c>
      <c r="C24" s="6" t="n">
        <v>249500</v>
      </c>
      <c r="D24" s="8">
        <f>IFERROR(B24/C24,NA())</f>
        <v/>
      </c>
      <c r="E24" s="6" t="n">
        <v>5387.24</v>
      </c>
      <c r="F24" s="6" t="n">
        <v>6644.27</v>
      </c>
      <c r="G24" s="6" t="n">
        <v>8080.87</v>
      </c>
      <c r="H24" s="8">
        <f>IF(AND(E24&lt;F24,F24&lt;G24),1,0)</f>
        <v/>
      </c>
      <c r="I24" s="8">
        <f>IFERROR(MIN(4,INT((RANK.AVG(D24,$D$9:$D$207,1)-1)*5/COUNT($D$9:$D$207)))+H24,NA())</f>
        <v/>
      </c>
    </row>
    <row r="25">
      <c r="A25" s="6" t="inlineStr">
        <is>
          <t>A042660</t>
        </is>
      </c>
      <c r="B25" s="6" t="n">
        <v>0</v>
      </c>
      <c r="C25" s="6" t="n">
        <v>131800</v>
      </c>
      <c r="D25" s="8">
        <f>IFERROR(B25/C25,NA())</f>
        <v/>
      </c>
      <c r="E25" s="6" t="n">
        <v>0</v>
      </c>
      <c r="F25" s="6" t="n">
        <v>0</v>
      </c>
      <c r="G25" s="6" t="n">
        <v>0</v>
      </c>
      <c r="H25" s="8">
        <f>IF(AND(E25&lt;F25,F25&lt;G25),1,0)</f>
        <v/>
      </c>
      <c r="I25" s="8">
        <f>IFERROR(MIN(4,INT((RANK.AVG(D25,$D$9:$D$207,1)-1)*5/COUNT($D$9:$D$207)))+H25,NA())</f>
        <v/>
      </c>
    </row>
    <row r="26">
      <c r="A26" s="6" t="inlineStr">
        <is>
          <t>A009540</t>
        </is>
      </c>
      <c r="B26" s="6" t="n">
        <v>12300</v>
      </c>
      <c r="C26" s="6" t="n">
        <v>461500</v>
      </c>
      <c r="D26" s="8">
        <f>IFERROR(B26/C26,NA())</f>
        <v/>
      </c>
      <c r="E26" s="6" t="n">
        <v>0</v>
      </c>
      <c r="F26" s="6" t="n">
        <v>0</v>
      </c>
      <c r="G26" s="6" t="n">
        <v>5869.31</v>
      </c>
      <c r="H26" s="8">
        <f>IF(AND(E26&lt;F26,F26&lt;G26),1,0)</f>
        <v/>
      </c>
      <c r="I26" s="8">
        <f>IFERROR(MIN(4,INT((RANK.AVG(D26,$D$9:$D$207,1)-1)*5/COUNT($D$9:$D$207)))+H26,NA())</f>
        <v/>
      </c>
    </row>
    <row r="27">
      <c r="A27" s="6" t="inlineStr">
        <is>
          <t>A011200</t>
        </is>
      </c>
      <c r="B27" s="6" t="n">
        <v>700</v>
      </c>
      <c r="C27" s="6" t="n">
        <v>20500</v>
      </c>
      <c r="D27" s="8">
        <f>IFERROR(B27/C27,NA())</f>
        <v/>
      </c>
      <c r="E27" s="6" t="n">
        <v>5868.47</v>
      </c>
      <c r="F27" s="6" t="n">
        <v>4823.28</v>
      </c>
      <c r="G27" s="6" t="n">
        <v>5286.24</v>
      </c>
      <c r="H27" s="8">
        <f>IF(AND(E27&lt;F27,F27&lt;G27),1,0)</f>
        <v/>
      </c>
      <c r="I27" s="8">
        <f>IFERROR(MIN(4,INT((RANK.AVG(D27,$D$9:$D$207,1)-1)*5/COUNT($D$9:$D$207)))+H27,NA())</f>
        <v/>
      </c>
    </row>
    <row r="28">
      <c r="A28" s="6" t="inlineStr">
        <is>
          <t>A035720</t>
        </is>
      </c>
      <c r="B28" s="6" t="n">
        <v>75</v>
      </c>
      <c r="C28" s="6" t="n">
        <v>47300</v>
      </c>
      <c r="D28" s="8">
        <f>IFERROR(B28/C28,NA())</f>
        <v/>
      </c>
      <c r="E28" s="6" t="n">
        <v>262.02</v>
      </c>
      <c r="F28" s="6" t="n">
        <v>267.4</v>
      </c>
      <c r="G28" s="6" t="n">
        <v>298.57</v>
      </c>
      <c r="H28" s="8">
        <f>IF(AND(E28&lt;F28,F28&lt;G28),1,0)</f>
        <v/>
      </c>
      <c r="I28" s="8">
        <f>IFERROR(MIN(4,INT((RANK.AVG(D28,$D$9:$D$207,1)-1)*5/COUNT($D$9:$D$207)))+H28,NA())</f>
        <v/>
      </c>
    </row>
    <row r="29">
      <c r="A29" s="6" t="inlineStr">
        <is>
          <t>A086790</t>
        </is>
      </c>
      <c r="B29" s="6" t="n">
        <v>4344</v>
      </c>
      <c r="C29" s="6" t="n">
        <v>127900</v>
      </c>
      <c r="D29" s="8">
        <f>IFERROR(B29/C29,NA())</f>
        <v/>
      </c>
      <c r="E29" s="6" t="n">
        <v>12625.15</v>
      </c>
      <c r="F29" s="6" t="n">
        <v>9720.68</v>
      </c>
      <c r="G29" s="6" t="n">
        <v>12548.9</v>
      </c>
      <c r="H29" s="8">
        <f>IF(AND(E29&lt;F29,F29&lt;G29),1,0)</f>
        <v/>
      </c>
      <c r="I29" s="8">
        <f>IFERROR(MIN(4,INT((RANK.AVG(D29,$D$9:$D$207,1)-1)*5/COUNT($D$9:$D$207)))+H29,NA())</f>
        <v/>
      </c>
    </row>
    <row r="30">
      <c r="A30" s="6" t="inlineStr">
        <is>
          <t>A005490</t>
        </is>
      </c>
      <c r="B30" s="6" t="n">
        <v>9500</v>
      </c>
      <c r="C30" s="6" t="n">
        <v>462000</v>
      </c>
      <c r="D30" s="8">
        <f>IFERROR(B30/C30,NA())</f>
        <v/>
      </c>
      <c r="E30" s="6" t="n">
        <v>7207.7</v>
      </c>
      <c r="F30" s="6" t="n">
        <v>7581.24</v>
      </c>
      <c r="G30" s="6" t="n">
        <v>7562.08</v>
      </c>
      <c r="H30" s="8">
        <f>IF(AND(E30&lt;F30,F30&lt;G30),1,0)</f>
        <v/>
      </c>
      <c r="I30" s="8">
        <f>IFERROR(MIN(4,INT((RANK.AVG(D30,$D$9:$D$207,1)-1)*5/COUNT($D$9:$D$207)))+H30,NA())</f>
        <v/>
      </c>
    </row>
    <row r="31">
      <c r="A31" s="6" t="inlineStr">
        <is>
          <t>A138040</t>
        </is>
      </c>
      <c r="B31" s="6" t="n">
        <v>0</v>
      </c>
      <c r="C31" s="6" t="n">
        <v>111700</v>
      </c>
      <c r="D31" s="8">
        <f>IFERROR(B31/C31,NA())</f>
        <v/>
      </c>
      <c r="E31" s="6" t="n">
        <v>127.2</v>
      </c>
      <c r="F31" s="6" t="n">
        <v>4483.34</v>
      </c>
      <c r="G31" s="6" t="n">
        <v>2406.96</v>
      </c>
      <c r="H31" s="8">
        <f>IF(AND(E31&lt;F31,F31&lt;G31),1,0)</f>
        <v/>
      </c>
      <c r="I31" s="8">
        <f>IFERROR(MIN(4,INT((RANK.AVG(D31,$D$9:$D$207,1)-1)*5/COUNT($D$9:$D$207)))+H31,NA())</f>
        <v/>
      </c>
    </row>
    <row r="32">
      <c r="A32" s="6" t="inlineStr">
        <is>
          <t>A000810</t>
        </is>
      </c>
      <c r="B32" s="6" t="n">
        <v>19500</v>
      </c>
      <c r="C32" s="6" t="n">
        <v>461000</v>
      </c>
      <c r="D32" s="8">
        <f>IFERROR(B32/C32,NA())</f>
        <v/>
      </c>
      <c r="E32" s="6" t="n">
        <v>5866.45</v>
      </c>
      <c r="F32" s="6" t="n">
        <v>6801.66</v>
      </c>
      <c r="G32" s="6" t="n">
        <v>8076.94</v>
      </c>
      <c r="H32" s="8">
        <f>IF(AND(E32&lt;F32,F32&lt;G32),1,0)</f>
        <v/>
      </c>
      <c r="I32" s="8">
        <f>IFERROR(MIN(4,INT((RANK.AVG(D32,$D$9:$D$207,1)-1)*5/COUNT($D$9:$D$207)))+H32,NA())</f>
        <v/>
      </c>
    </row>
    <row r="33">
      <c r="A33" s="6" t="inlineStr">
        <is>
          <t>A064350</t>
        </is>
      </c>
      <c r="B33" s="6" t="n">
        <v>600</v>
      </c>
      <c r="C33" s="6" t="n">
        <v>268500</v>
      </c>
      <c r="D33" s="8">
        <f>IFERROR(B33/C33,NA())</f>
        <v/>
      </c>
      <c r="E33" s="6" t="n">
        <v>0</v>
      </c>
      <c r="F33" s="6" t="n">
        <v>109.14</v>
      </c>
      <c r="G33" s="6" t="n">
        <v>218.28</v>
      </c>
      <c r="H33" s="8">
        <f>IF(AND(E33&lt;F33,F33&lt;G33),1,0)</f>
        <v/>
      </c>
      <c r="I33" s="8">
        <f>IFERROR(MIN(4,INT((RANK.AVG(D33,$D$9:$D$207,1)-1)*5/COUNT($D$9:$D$207)))+H33,NA())</f>
        <v/>
      </c>
    </row>
    <row r="34">
      <c r="A34" s="6" t="inlineStr">
        <is>
          <t>A402340</t>
        </is>
      </c>
      <c r="B34" s="6" t="n">
        <v>1550</v>
      </c>
      <c r="C34" s="6" t="n">
        <v>841000</v>
      </c>
      <c r="D34" s="8">
        <f>IFERROR(B34/C34,NA())</f>
        <v/>
      </c>
      <c r="E34" s="6" t="n">
        <v>0</v>
      </c>
      <c r="F34" s="6" t="n">
        <v>0</v>
      </c>
      <c r="G34" s="6" t="n">
        <v>0</v>
      </c>
      <c r="H34" s="8">
        <f>IF(AND(E34&lt;F34,F34&lt;G34),1,0)</f>
        <v/>
      </c>
      <c r="I34" s="8">
        <f>IFERROR(MIN(4,INT((RANK.AVG(D34,$D$9:$D$207,1)-1)*5/COUNT($D$9:$D$207)))+H34,NA())</f>
        <v/>
      </c>
    </row>
    <row r="35">
      <c r="A35" s="6" t="inlineStr">
        <is>
          <t>A015760</t>
        </is>
      </c>
      <c r="B35" s="6" t="n">
        <v>1542</v>
      </c>
      <c r="C35" s="6" t="n">
        <v>43550</v>
      </c>
      <c r="D35" s="8">
        <f>IFERROR(B35/C35,NA())</f>
        <v/>
      </c>
      <c r="E35" s="6" t="n">
        <v>0</v>
      </c>
      <c r="F35" s="6" t="n">
        <v>0</v>
      </c>
      <c r="G35" s="6" t="n">
        <v>1367.38</v>
      </c>
      <c r="H35" s="8">
        <f>IF(AND(E35&lt;F35,F35&lt;G35),1,0)</f>
        <v/>
      </c>
      <c r="I35" s="8">
        <f>IFERROR(MIN(4,INT((RANK.AVG(D35,$D$9:$D$207,1)-1)*5/COUNT($D$9:$D$207)))+H35,NA())</f>
        <v/>
      </c>
    </row>
    <row r="36">
      <c r="A36" s="6" t="inlineStr">
        <is>
          <t>A259960</t>
        </is>
      </c>
      <c r="B36" s="6" t="n">
        <v>2240</v>
      </c>
      <c r="C36" s="6" t="n">
        <v>265000</v>
      </c>
      <c r="D36" s="8">
        <f>IFERROR(B36/C36,NA())</f>
        <v/>
      </c>
      <c r="E36" s="6" t="n">
        <v>0</v>
      </c>
      <c r="F36" s="6" t="n">
        <v>0</v>
      </c>
      <c r="G36" s="6" t="n">
        <v>0</v>
      </c>
      <c r="H36" s="8">
        <f>IF(AND(E36&lt;F36,F36&lt;G36),1,0)</f>
        <v/>
      </c>
      <c r="I36" s="8">
        <f>IFERROR(MIN(4,INT((RANK.AVG(D36,$D$9:$D$207,1)-1)*5/COUNT($D$9:$D$207)))+H36,NA())</f>
        <v/>
      </c>
    </row>
    <row r="37">
      <c r="A37" s="6" t="inlineStr">
        <is>
          <t>A010130</t>
        </is>
      </c>
      <c r="B37" s="6" t="n">
        <v>25000</v>
      </c>
      <c r="C37" s="6" t="n">
        <v>1579000</v>
      </c>
      <c r="D37" s="8">
        <f>IFERROR(B37/C37,NA())</f>
        <v/>
      </c>
      <c r="E37" s="6" t="n">
        <v>5958.95</v>
      </c>
      <c r="F37" s="6" t="n">
        <v>3095.57</v>
      </c>
      <c r="G37" s="6" t="n">
        <v>1362.27</v>
      </c>
      <c r="H37" s="8">
        <f>IF(AND(E37&lt;F37,F37&lt;G37),1,0)</f>
        <v/>
      </c>
      <c r="I37" s="8">
        <f>IFERROR(MIN(4,INT((RANK.AVG(D37,$D$9:$D$207,1)-1)*5/COUNT($D$9:$D$207)))+H37,NA())</f>
        <v/>
      </c>
    </row>
    <row r="38">
      <c r="A38" s="6" t="inlineStr">
        <is>
          <t>A010140</t>
        </is>
      </c>
      <c r="B38" s="6" t="n">
        <v>0</v>
      </c>
      <c r="C38" s="6" t="n">
        <v>32350</v>
      </c>
      <c r="D38" s="8">
        <f>IFERROR(B38/C38,NA())</f>
        <v/>
      </c>
      <c r="E38" s="6" t="n">
        <v>0</v>
      </c>
      <c r="F38" s="6" t="n">
        <v>0</v>
      </c>
      <c r="G38" s="6" t="n">
        <v>0</v>
      </c>
      <c r="H38" s="8">
        <f>IF(AND(E38&lt;F38,F38&lt;G38),1,0)</f>
        <v/>
      </c>
      <c r="I38" s="8">
        <f>IFERROR(MIN(4,INT((RANK.AVG(D38,$D$9:$D$207,1)-1)*5/COUNT($D$9:$D$207)))+H38,NA())</f>
        <v/>
      </c>
    </row>
    <row r="39">
      <c r="A39" s="6" t="inlineStr">
        <is>
          <t>A316140</t>
        </is>
      </c>
      <c r="B39" s="6" t="n">
        <v>1380</v>
      </c>
      <c r="C39" s="6" t="n">
        <v>33350</v>
      </c>
      <c r="D39" s="8">
        <f>IFERROR(B39/C39,NA())</f>
        <v/>
      </c>
      <c r="E39" s="6" t="n">
        <v>9795.860000000001</v>
      </c>
      <c r="F39" s="6" t="n">
        <v>8821.83</v>
      </c>
      <c r="G39" s="6" t="n">
        <v>9311.110000000001</v>
      </c>
      <c r="H39" s="8">
        <f>IF(AND(E39&lt;F39,F39&lt;G39),1,0)</f>
        <v/>
      </c>
      <c r="I39" s="8">
        <f>IFERROR(MIN(4,INT((RANK.AVG(D39,$D$9:$D$207,1)-1)*5/COUNT($D$9:$D$207)))+H39,NA())</f>
        <v/>
      </c>
    </row>
    <row r="40">
      <c r="A40" s="6" t="inlineStr">
        <is>
          <t>A267260</t>
        </is>
      </c>
      <c r="B40" s="6" t="n">
        <v>8400</v>
      </c>
      <c r="C40" s="6" t="n">
        <v>1252000</v>
      </c>
      <c r="D40" s="8">
        <f>IFERROR(B40/C40,NA())</f>
        <v/>
      </c>
      <c r="E40" s="6" t="n">
        <v>179.96</v>
      </c>
      <c r="F40" s="6" t="n">
        <v>755.85</v>
      </c>
      <c r="G40" s="6" t="n">
        <v>2213.55</v>
      </c>
      <c r="H40" s="8">
        <f>IF(AND(E40&lt;F40,F40&lt;G40),1,0)</f>
        <v/>
      </c>
      <c r="I40" s="8">
        <f>IFERROR(MIN(4,INT((RANK.AVG(D40,$D$9:$D$207,1)-1)*5/COUNT($D$9:$D$207)))+H40,NA())</f>
        <v/>
      </c>
    </row>
    <row r="41">
      <c r="A41" s="6" t="inlineStr">
        <is>
          <t>A033780</t>
        </is>
      </c>
      <c r="B41" s="6" t="n">
        <v>6000</v>
      </c>
      <c r="C41" s="6" t="n">
        <v>178300</v>
      </c>
      <c r="D41" s="8">
        <f>IFERROR(B41/C41,NA())</f>
        <v/>
      </c>
      <c r="E41" s="6" t="n">
        <v>7209.36</v>
      </c>
      <c r="F41" s="6" t="n">
        <v>5866.19</v>
      </c>
      <c r="G41" s="6" t="n">
        <v>6029.69</v>
      </c>
      <c r="H41" s="8">
        <f>IF(AND(E41&lt;F41,F41&lt;G41),1,0)</f>
        <v/>
      </c>
      <c r="I41" s="8">
        <f>IFERROR(MIN(4,INT((RANK.AVG(D41,$D$9:$D$207,1)-1)*5/COUNT($D$9:$D$207)))+H41,NA())</f>
        <v/>
      </c>
    </row>
    <row r="42">
      <c r="A42" s="6" t="inlineStr">
        <is>
          <t>A051910</t>
        </is>
      </c>
      <c r="B42" s="6" t="n">
        <v>2000</v>
      </c>
      <c r="C42" s="6" t="n">
        <v>397000</v>
      </c>
      <c r="D42" s="8">
        <f>IFERROR(B42/C42,NA())</f>
        <v/>
      </c>
      <c r="E42" s="6" t="n">
        <v>7831.35</v>
      </c>
      <c r="F42" s="6" t="n">
        <v>2743.47</v>
      </c>
      <c r="G42" s="6" t="n">
        <v>786.59</v>
      </c>
      <c r="H42" s="8">
        <f>IF(AND(E42&lt;F42,F42&lt;G42),1,0)</f>
        <v/>
      </c>
      <c r="I42" s="8">
        <f>IFERROR(MIN(4,INT((RANK.AVG(D42,$D$9:$D$207,1)-1)*5/COUNT($D$9:$D$207)))+H42,NA())</f>
        <v/>
      </c>
    </row>
    <row r="43">
      <c r="A43" s="6" t="inlineStr">
        <is>
          <t>A096770</t>
        </is>
      </c>
      <c r="B43" s="6" t="n">
        <v>0</v>
      </c>
      <c r="C43" s="6" t="n">
        <v>146200</v>
      </c>
      <c r="D43" s="8">
        <f>IFERROR(B43/C43,NA())</f>
        <v/>
      </c>
      <c r="E43" s="6" t="n">
        <v>0.62</v>
      </c>
      <c r="F43" s="6" t="n">
        <v>0</v>
      </c>
      <c r="G43" s="6" t="n">
        <v>2975.57</v>
      </c>
      <c r="H43" s="8">
        <f>IF(AND(E43&lt;F43,F43&lt;G43),1,0)</f>
        <v/>
      </c>
      <c r="I43" s="8">
        <f>IFERROR(MIN(4,INT((RANK.AVG(D43,$D$9:$D$207,1)-1)*5/COUNT($D$9:$D$207)))+H43,NA())</f>
        <v/>
      </c>
    </row>
    <row r="44">
      <c r="A44" s="6" t="inlineStr">
        <is>
          <t>A034730</t>
        </is>
      </c>
      <c r="B44" s="6" t="n">
        <v>8000</v>
      </c>
      <c r="C44" s="6" t="n">
        <v>425000</v>
      </c>
      <c r="D44" s="8">
        <f>IFERROR(B44/C44,NA())</f>
        <v/>
      </c>
      <c r="E44" s="6" t="n">
        <v>2787.64</v>
      </c>
      <c r="F44" s="6" t="n">
        <v>2758.81</v>
      </c>
      <c r="G44" s="6" t="n">
        <v>3856.24</v>
      </c>
      <c r="H44" s="8">
        <f>IF(AND(E44&lt;F44,F44&lt;G44),1,0)</f>
        <v/>
      </c>
      <c r="I44" s="8">
        <f>IFERROR(MIN(4,INT((RANK.AVG(D44,$D$9:$D$207,1)-1)*5/COUNT($D$9:$D$207)))+H44,NA())</f>
        <v/>
      </c>
    </row>
    <row r="45">
      <c r="A45" s="6" t="inlineStr">
        <is>
          <t>A323410</t>
        </is>
      </c>
      <c r="B45" s="6" t="n">
        <v>460</v>
      </c>
      <c r="C45" s="6" t="n">
        <v>24350</v>
      </c>
      <c r="D45" s="8">
        <f>IFERROR(B45/C45,NA())</f>
        <v/>
      </c>
      <c r="E45" s="6" t="n">
        <v>381.38</v>
      </c>
      <c r="F45" s="6" t="n">
        <v>714.51</v>
      </c>
      <c r="G45" s="6" t="n">
        <v>1715.2</v>
      </c>
      <c r="H45" s="8">
        <f>IF(AND(E45&lt;F45,F45&lt;G45),1,0)</f>
        <v/>
      </c>
      <c r="I45" s="8">
        <f>IFERROR(MIN(4,INT((RANK.AVG(D45,$D$9:$D$207,1)-1)*5/COUNT($D$9:$D$207)))+H45,NA())</f>
        <v/>
      </c>
    </row>
    <row r="46">
      <c r="A46" s="6" t="inlineStr">
        <is>
          <t>A024110</t>
        </is>
      </c>
      <c r="B46" s="6" t="n">
        <v>1048</v>
      </c>
      <c r="C46" s="6" t="n">
        <v>22600</v>
      </c>
      <c r="D46" s="8">
        <f>IFERROR(B46/C46,NA())</f>
        <v/>
      </c>
      <c r="E46" s="6" t="n">
        <v>7655.29</v>
      </c>
      <c r="F46" s="6" t="n">
        <v>7846.67</v>
      </c>
      <c r="G46" s="6" t="n">
        <v>8492.59</v>
      </c>
      <c r="H46" s="8">
        <f>IF(AND(E46&lt;F46,F46&lt;G46),1,0)</f>
        <v/>
      </c>
      <c r="I46" s="8">
        <f>IFERROR(MIN(4,INT((RANK.AVG(D46,$D$9:$D$207,1)-1)*5/COUNT($D$9:$D$207)))+H46,NA())</f>
        <v/>
      </c>
    </row>
    <row r="47">
      <c r="A47" s="6" t="inlineStr">
        <is>
          <t>A030200</t>
        </is>
      </c>
      <c r="B47" s="6" t="n">
        <v>2400</v>
      </c>
      <c r="C47" s="6" t="n">
        <v>60900</v>
      </c>
      <c r="D47" s="8">
        <f>IFERROR(B47/C47,NA())</f>
        <v/>
      </c>
      <c r="E47" s="6" t="n">
        <v>5018.44</v>
      </c>
      <c r="F47" s="6" t="n">
        <v>8516.549999999999</v>
      </c>
      <c r="G47" s="6" t="n">
        <v>5592.15</v>
      </c>
      <c r="H47" s="8">
        <f>IF(AND(E47&lt;F47,F47&lt;G47),1,0)</f>
        <v/>
      </c>
      <c r="I47" s="8">
        <f>IFERROR(MIN(4,INT((RANK.AVG(D47,$D$9:$D$207,1)-1)*5/COUNT($D$9:$D$207)))+H47,NA())</f>
        <v/>
      </c>
    </row>
    <row r="48">
      <c r="A48" s="6" t="inlineStr">
        <is>
          <t>A352820</t>
        </is>
      </c>
      <c r="B48" s="6" t="n">
        <v>500</v>
      </c>
      <c r="C48" s="6" t="n">
        <v>263000</v>
      </c>
      <c r="D48" s="8">
        <f>IFERROR(B48/C48,NA())</f>
        <v/>
      </c>
      <c r="E48" s="6" t="n">
        <v>0</v>
      </c>
      <c r="F48" s="6" t="n">
        <v>291.56</v>
      </c>
      <c r="G48" s="6" t="n">
        <v>83.05</v>
      </c>
      <c r="H48" s="8">
        <f>IF(AND(E48&lt;F48,F48&lt;G48),1,0)</f>
        <v/>
      </c>
      <c r="I48" s="8">
        <f>IFERROR(MIN(4,INT((RANK.AVG(D48,$D$9:$D$207,1)-1)*5/COUNT($D$9:$D$207)))+H48,NA())</f>
        <v/>
      </c>
    </row>
    <row r="49">
      <c r="A49" s="6" t="inlineStr">
        <is>
          <t>A066570</t>
        </is>
      </c>
      <c r="B49" s="6" t="n">
        <v>1350</v>
      </c>
      <c r="C49" s="6" t="n">
        <v>140900</v>
      </c>
      <c r="D49" s="8">
        <f>IFERROR(B49/C49,NA())</f>
        <v/>
      </c>
      <c r="E49" s="6" t="n">
        <v>1269.05</v>
      </c>
      <c r="F49" s="6" t="n">
        <v>2349.45</v>
      </c>
      <c r="G49" s="6" t="n">
        <v>1809.25</v>
      </c>
      <c r="H49" s="8">
        <f>IF(AND(E49&lt;F49,F49&lt;G49),1,0)</f>
        <v/>
      </c>
      <c r="I49" s="8">
        <f>IFERROR(MIN(4,INT((RANK.AVG(D49,$D$9:$D$207,1)-1)*5/COUNT($D$9:$D$207)))+H49,NA())</f>
        <v/>
      </c>
    </row>
    <row r="50">
      <c r="A50" s="6" t="inlineStr">
        <is>
          <t>A006400</t>
        </is>
      </c>
      <c r="B50" s="6" t="n">
        <v>0</v>
      </c>
      <c r="C50" s="6" t="n">
        <v>695000</v>
      </c>
      <c r="D50" s="8">
        <f>IFERROR(B50/C50,NA())</f>
        <v/>
      </c>
      <c r="E50" s="6" t="n">
        <v>689.51</v>
      </c>
      <c r="F50" s="6" t="n">
        <v>669.45</v>
      </c>
      <c r="G50" s="6" t="n">
        <v>669.45</v>
      </c>
      <c r="H50" s="8">
        <f>IF(AND(E50&lt;F50,F50&lt;G50),1,0)</f>
        <v/>
      </c>
      <c r="I50" s="8">
        <f>IFERROR(MIN(4,INT((RANK.AVG(D50,$D$9:$D$207,1)-1)*5/COUNT($D$9:$D$207)))+H50,NA())</f>
        <v/>
      </c>
    </row>
    <row r="51">
      <c r="A51" s="6" t="inlineStr">
        <is>
          <t>A003550</t>
        </is>
      </c>
      <c r="B51" s="6" t="n">
        <v>3100</v>
      </c>
      <c r="C51" s="6" t="n">
        <v>99100</v>
      </c>
      <c r="D51" s="8">
        <f>IFERROR(B51/C51,NA())</f>
        <v/>
      </c>
      <c r="E51" s="6" t="n">
        <v>4745.45</v>
      </c>
      <c r="F51" s="6" t="n">
        <v>4837.37</v>
      </c>
      <c r="G51" s="6" t="n">
        <v>6323.84</v>
      </c>
      <c r="H51" s="8">
        <f>IF(AND(E51&lt;F51,F51&lt;G51),1,0)</f>
        <v/>
      </c>
      <c r="I51" s="8">
        <f>IFERROR(MIN(4,INT((RANK.AVG(D51,$D$9:$D$207,1)-1)*5/COUNT($D$9:$D$207)))+H51,NA())</f>
        <v/>
      </c>
    </row>
    <row r="52">
      <c r="A52" s="6" t="inlineStr">
        <is>
          <t>A017670</t>
        </is>
      </c>
      <c r="B52" s="6" t="n">
        <v>1660</v>
      </c>
      <c r="C52" s="6" t="n">
        <v>95100</v>
      </c>
      <c r="D52" s="8">
        <f>IFERROR(B52/C52,NA())</f>
        <v/>
      </c>
      <c r="E52" s="6" t="n">
        <v>7232.49</v>
      </c>
      <c r="F52" s="6" t="n">
        <v>7534.17</v>
      </c>
      <c r="G52" s="6" t="n">
        <v>5770.02</v>
      </c>
      <c r="H52" s="8">
        <f>IF(AND(E52&lt;F52,F52&lt;G52),1,0)</f>
        <v/>
      </c>
      <c r="I52" s="8">
        <f>IFERROR(MIN(4,INT((RANK.AVG(D52,$D$9:$D$207,1)-1)*5/COUNT($D$9:$D$207)))+H52,NA())</f>
        <v/>
      </c>
    </row>
    <row r="53">
      <c r="A53" s="6" t="inlineStr">
        <is>
          <t>A006800</t>
        </is>
      </c>
      <c r="B53" s="6" t="n">
        <v>300</v>
      </c>
      <c r="C53" s="6" t="n">
        <v>64800</v>
      </c>
      <c r="D53" s="8">
        <f>IFERROR(B53/C53,NA())</f>
        <v/>
      </c>
      <c r="E53" s="6" t="n">
        <v>1234.24</v>
      </c>
      <c r="F53" s="6" t="n">
        <v>898.08</v>
      </c>
      <c r="G53" s="6" t="n">
        <v>1466.55</v>
      </c>
      <c r="H53" s="8">
        <f>IF(AND(E53&lt;F53,F53&lt;G53),1,0)</f>
        <v/>
      </c>
      <c r="I53" s="8">
        <f>IFERROR(MIN(4,INT((RANK.AVG(D53,$D$9:$D$207,1)-1)*5/COUNT($D$9:$D$207)))+H53,NA())</f>
        <v/>
      </c>
    </row>
    <row r="54">
      <c r="A54" s="6" t="inlineStr">
        <is>
          <t>A018260</t>
        </is>
      </c>
      <c r="B54" s="6" t="n">
        <v>3190</v>
      </c>
      <c r="C54" s="6" t="n">
        <v>166200</v>
      </c>
      <c r="D54" s="8">
        <f>IFERROR(B54/C54,NA())</f>
        <v/>
      </c>
      <c r="E54" s="6" t="n">
        <v>2475.21</v>
      </c>
      <c r="F54" s="6" t="n">
        <v>2088.46</v>
      </c>
      <c r="G54" s="6" t="n">
        <v>2243.16</v>
      </c>
      <c r="H54" s="8">
        <f>IF(AND(E54&lt;F54,F54&lt;G54),1,0)</f>
        <v/>
      </c>
      <c r="I54" s="8">
        <f>IFERROR(MIN(4,INT((RANK.AVG(D54,$D$9:$D$207,1)-1)*5/COUNT($D$9:$D$207)))+H54,NA())</f>
        <v/>
      </c>
    </row>
    <row r="55">
      <c r="A55" s="6" t="inlineStr">
        <is>
          <t>A267250</t>
        </is>
      </c>
      <c r="B55" s="6" t="n">
        <v>4400</v>
      </c>
      <c r="C55" s="6" t="n">
        <v>310500</v>
      </c>
      <c r="D55" s="8">
        <f>IFERROR(B55/C55,NA())</f>
        <v/>
      </c>
      <c r="E55" s="6" t="n">
        <v>3886.76</v>
      </c>
      <c r="F55" s="6" t="n">
        <v>3250.75</v>
      </c>
      <c r="G55" s="6" t="n">
        <v>2544.06</v>
      </c>
      <c r="H55" s="8">
        <f>IF(AND(E55&lt;F55,F55&lt;G55),1,0)</f>
        <v/>
      </c>
      <c r="I55" s="8">
        <f>IFERROR(MIN(4,INT((RANK.AVG(D55,$D$9:$D$207,1)-1)*5/COUNT($D$9:$D$207)))+H55,NA())</f>
        <v/>
      </c>
    </row>
    <row r="56">
      <c r="A56" s="6" t="inlineStr">
        <is>
          <t>A079550</t>
        </is>
      </c>
      <c r="B56" s="6" t="n">
        <v>2950</v>
      </c>
      <c r="C56" s="6" t="n">
        <v>941000</v>
      </c>
      <c r="D56" s="8">
        <f>IFERROR(B56/C56,NA())</f>
        <v/>
      </c>
      <c r="E56" s="6" t="n">
        <v>326.92</v>
      </c>
      <c r="F56" s="6" t="n">
        <v>424.99</v>
      </c>
      <c r="G56" s="6" t="n">
        <v>523.0599999999999</v>
      </c>
      <c r="H56" s="8">
        <f>IF(AND(E56&lt;F56,F56&lt;G56),1,0)</f>
        <v/>
      </c>
      <c r="I56" s="8">
        <f>IFERROR(MIN(4,INT((RANK.AVG(D56,$D$9:$D$207,1)-1)*5/COUNT($D$9:$D$207)))+H56,NA())</f>
        <v/>
      </c>
    </row>
    <row r="57">
      <c r="A57" s="6" t="inlineStr">
        <is>
          <t>A272210</t>
        </is>
      </c>
      <c r="B57" s="6" t="n">
        <v>500</v>
      </c>
      <c r="C57" s="6" t="n">
        <v>117300</v>
      </c>
      <c r="D57" s="8">
        <f>IFERROR(B57/C57,NA())</f>
        <v/>
      </c>
      <c r="E57" s="6" t="n">
        <v>467.48</v>
      </c>
      <c r="F57" s="6" t="n">
        <v>523.58</v>
      </c>
      <c r="G57" s="6" t="n">
        <v>654.48</v>
      </c>
      <c r="H57" s="8">
        <f>IF(AND(E57&lt;F57,F57&lt;G57),1,0)</f>
        <v/>
      </c>
      <c r="I57" s="8">
        <f>IFERROR(MIN(4,INT((RANK.AVG(D57,$D$9:$D$207,1)-1)*5/COUNT($D$9:$D$207)))+H57,NA())</f>
        <v/>
      </c>
    </row>
    <row r="58">
      <c r="A58" s="6" t="inlineStr">
        <is>
          <t>A009150</t>
        </is>
      </c>
      <c r="B58" s="6" t="n">
        <v>2350</v>
      </c>
      <c r="C58" s="6" t="n">
        <v>832000</v>
      </c>
      <c r="D58" s="8">
        <f>IFERROR(B58/C58,NA())</f>
        <v/>
      </c>
      <c r="E58" s="6" t="n">
        <v>1587.92</v>
      </c>
      <c r="F58" s="6" t="n">
        <v>870.22</v>
      </c>
      <c r="G58" s="6" t="n">
        <v>1361.28</v>
      </c>
      <c r="H58" s="8">
        <f>IF(AND(E58&lt;F58,F58&lt;G58),1,0)</f>
        <v/>
      </c>
      <c r="I58" s="8">
        <f>IFERROR(MIN(4,INT((RANK.AVG(D58,$D$9:$D$207,1)-1)*5/COUNT($D$9:$D$207)))+H58,NA())</f>
        <v/>
      </c>
    </row>
    <row r="59">
      <c r="A59" s="6" t="inlineStr">
        <is>
          <t>A000150</t>
        </is>
      </c>
      <c r="B59" s="6" t="n">
        <v>5000</v>
      </c>
      <c r="C59" s="6" t="n">
        <v>1596000</v>
      </c>
      <c r="D59" s="8">
        <f>IFERROR(B59/C59,NA())</f>
        <v/>
      </c>
      <c r="E59" s="6" t="n">
        <v>357.72</v>
      </c>
      <c r="F59" s="6" t="n">
        <v>357.72</v>
      </c>
      <c r="G59" s="6" t="n">
        <v>358.51</v>
      </c>
      <c r="H59" s="8">
        <f>IF(AND(E59&lt;F59,F59&lt;G59),1,0)</f>
        <v/>
      </c>
      <c r="I59" s="8">
        <f>IFERROR(MIN(4,INT((RANK.AVG(D59,$D$9:$D$207,1)-1)*5/COUNT($D$9:$D$207)))+H59,NA())</f>
        <v/>
      </c>
    </row>
    <row r="60">
      <c r="A60" s="6" t="inlineStr">
        <is>
          <t>A003670</t>
        </is>
      </c>
      <c r="B60" s="6" t="n">
        <v>250</v>
      </c>
      <c r="C60" s="6" t="n">
        <v>252000</v>
      </c>
      <c r="D60" s="8">
        <f>IFERROR(B60/C60,NA())</f>
        <v/>
      </c>
      <c r="E60" s="6" t="n">
        <v>232.22</v>
      </c>
      <c r="F60" s="6" t="n">
        <v>193.55</v>
      </c>
      <c r="G60" s="6" t="n">
        <v>0</v>
      </c>
      <c r="H60" s="8">
        <f>IF(AND(E60&lt;F60,F60&lt;G60),1,0)</f>
        <v/>
      </c>
      <c r="I60" s="8">
        <f>IFERROR(MIN(4,INT((RANK.AVG(D60,$D$9:$D$207,1)-1)*5/COUNT($D$9:$D$207)))+H60,NA())</f>
        <v/>
      </c>
    </row>
    <row r="61">
      <c r="A61" s="6" t="inlineStr">
        <is>
          <t>A180640</t>
        </is>
      </c>
      <c r="B61" s="6" t="n">
        <v>360</v>
      </c>
      <c r="C61" s="6" t="n">
        <v>112700</v>
      </c>
      <c r="D61" s="8">
        <f>IFERROR(B61/C61,NA())</f>
        <v/>
      </c>
      <c r="E61" s="6" t="n">
        <v>114.19</v>
      </c>
      <c r="F61" s="6" t="n">
        <v>200.69</v>
      </c>
      <c r="G61" s="6" t="n">
        <v>240.8</v>
      </c>
      <c r="H61" s="8">
        <f>IF(AND(E61&lt;F61,F61&lt;G61),1,0)</f>
        <v/>
      </c>
      <c r="I61" s="8">
        <f>IFERROR(MIN(4,INT((RANK.AVG(D61,$D$9:$D$207,1)-1)*5/COUNT($D$9:$D$207)))+H61,NA())</f>
        <v/>
      </c>
    </row>
    <row r="62">
      <c r="A62" s="6" t="inlineStr">
        <is>
          <t>A086280</t>
        </is>
      </c>
      <c r="B62" s="6" t="n">
        <v>5800</v>
      </c>
      <c r="C62" s="6" t="n">
        <v>227000</v>
      </c>
      <c r="D62" s="8">
        <f>IFERROR(B62/C62,NA())</f>
        <v/>
      </c>
      <c r="E62" s="6" t="n">
        <v>2137.5</v>
      </c>
      <c r="F62" s="6" t="n">
        <v>2362.5</v>
      </c>
      <c r="G62" s="6" t="n">
        <v>2775</v>
      </c>
      <c r="H62" s="8">
        <f>IF(AND(E62&lt;F62,F62&lt;G62),1,0)</f>
        <v/>
      </c>
      <c r="I62" s="8">
        <f>IFERROR(MIN(4,INT((RANK.AVG(D62,$D$9:$D$207,1)-1)*5/COUNT($D$9:$D$207)))+H62,NA())</f>
        <v/>
      </c>
    </row>
    <row r="63">
      <c r="A63" s="6" t="inlineStr">
        <is>
          <t>A047050</t>
        </is>
      </c>
      <c r="B63" s="6" t="n">
        <v>1850</v>
      </c>
      <c r="C63" s="6" t="n">
        <v>87300</v>
      </c>
      <c r="D63" s="8">
        <f>IFERROR(B63/C63,NA())</f>
        <v/>
      </c>
      <c r="E63" s="6" t="n">
        <v>1233.55</v>
      </c>
      <c r="F63" s="6" t="n">
        <v>1701.54</v>
      </c>
      <c r="G63" s="6" t="n">
        <v>4090.67</v>
      </c>
      <c r="H63" s="8">
        <f>IF(AND(E63&lt;F63,F63&lt;G63),1,0)</f>
        <v/>
      </c>
      <c r="I63" s="8">
        <f>IFERROR(MIN(4,INT((RANK.AVG(D63,$D$9:$D$207,1)-1)*5/COUNT($D$9:$D$207)))+H63,NA())</f>
        <v/>
      </c>
    </row>
    <row r="64">
      <c r="A64" s="6" t="inlineStr">
        <is>
          <t>A003230</t>
        </is>
      </c>
      <c r="B64" s="6" t="n">
        <v>4800</v>
      </c>
      <c r="C64" s="6" t="n">
        <v>1341000</v>
      </c>
      <c r="D64" s="8">
        <f>IFERROR(B64/C64,NA())</f>
        <v/>
      </c>
      <c r="E64" s="6" t="n">
        <v>119.33</v>
      </c>
      <c r="F64" s="6" t="n">
        <v>193.91</v>
      </c>
      <c r="G64" s="6" t="n">
        <v>298.33</v>
      </c>
      <c r="H64" s="8">
        <f>IF(AND(E64&lt;F64,F64&lt;G64),1,0)</f>
        <v/>
      </c>
      <c r="I64" s="8">
        <f>IFERROR(MIN(4,INT((RANK.AVG(D64,$D$9:$D$207,1)-1)*5/COUNT($D$9:$D$207)))+H64,NA())</f>
        <v/>
      </c>
    </row>
    <row r="65">
      <c r="A65" s="6" t="inlineStr">
        <is>
          <t>A443060</t>
        </is>
      </c>
      <c r="B65" s="6" t="n">
        <v>4150</v>
      </c>
      <c r="C65" s="6" t="n">
        <v>265500</v>
      </c>
      <c r="D65" s="8">
        <f>IFERROR(B65/C65,NA())</f>
        <v/>
      </c>
      <c r="E65" s="6" t="n">
        <v>900</v>
      </c>
      <c r="F65" s="6" t="n">
        <v>1000.03</v>
      </c>
      <c r="G65" s="6" t="n">
        <v>2151.8</v>
      </c>
      <c r="H65" s="8">
        <f>IF(AND(E65&lt;F65,F65&lt;G65),1,0)</f>
        <v/>
      </c>
      <c r="I65" s="8">
        <f>IFERROR(MIN(4,INT((RANK.AVG(D65,$D$9:$D$207,1)-1)*5/COUNT($D$9:$D$207)))+H65,NA())</f>
        <v/>
      </c>
    </row>
    <row r="66">
      <c r="A66" s="6" t="inlineStr">
        <is>
          <t>A000100</t>
        </is>
      </c>
      <c r="B66" s="6" t="n">
        <v>600</v>
      </c>
      <c r="C66" s="6" t="n">
        <v>91600</v>
      </c>
      <c r="D66" s="8">
        <f>IFERROR(B66/C66,NA())</f>
        <v/>
      </c>
      <c r="E66" s="6" t="n">
        <v>272.69</v>
      </c>
      <c r="F66" s="6" t="n">
        <v>321.45</v>
      </c>
      <c r="G66" s="6" t="n">
        <v>374.81</v>
      </c>
      <c r="H66" s="8">
        <f>IF(AND(E66&lt;F66,F66&lt;G66),1,0)</f>
        <v/>
      </c>
      <c r="I66" s="8">
        <f>IFERROR(MIN(4,INT((RANK.AVG(D66,$D$9:$D$207,1)-1)*5/COUNT($D$9:$D$207)))+H66,NA())</f>
        <v/>
      </c>
    </row>
    <row r="67">
      <c r="A67" s="6" t="inlineStr">
        <is>
          <t>A047810</t>
        </is>
      </c>
      <c r="B67" s="6" t="n">
        <v>500</v>
      </c>
      <c r="C67" s="6" t="n">
        <v>169000</v>
      </c>
      <c r="D67" s="8">
        <f>IFERROR(B67/C67,NA())</f>
        <v/>
      </c>
      <c r="E67" s="6" t="n">
        <v>243.69</v>
      </c>
      <c r="F67" s="6" t="n">
        <v>487.38</v>
      </c>
      <c r="G67" s="6" t="n">
        <v>487.38</v>
      </c>
      <c r="H67" s="8">
        <f>IF(AND(E67&lt;F67,F67&lt;G67),1,0)</f>
        <v/>
      </c>
      <c r="I67" s="8">
        <f>IFERROR(MIN(4,INT((RANK.AVG(D67,$D$9:$D$207,1)-1)*5/COUNT($D$9:$D$207)))+H67,NA())</f>
        <v/>
      </c>
    </row>
    <row r="68">
      <c r="A68" s="6" t="inlineStr">
        <is>
          <t>A003490</t>
        </is>
      </c>
      <c r="B68" s="6" t="n">
        <v>750</v>
      </c>
      <c r="C68" s="6" t="n">
        <v>24550</v>
      </c>
      <c r="D68" s="8">
        <f>IFERROR(B68/C68,NA())</f>
        <v/>
      </c>
      <c r="E68" s="6" t="n">
        <v>2770.54</v>
      </c>
      <c r="F68" s="6" t="n">
        <v>2770.54</v>
      </c>
      <c r="G68" s="6" t="n">
        <v>2770.54</v>
      </c>
      <c r="H68" s="8">
        <f>IF(AND(E68&lt;F68,F68&lt;G68),1,0)</f>
        <v/>
      </c>
      <c r="I68" s="8">
        <f>IFERROR(MIN(4,INT((RANK.AVG(D68,$D$9:$D$207,1)-1)*5/COUNT($D$9:$D$207)))+H68,NA())</f>
        <v/>
      </c>
    </row>
    <row r="69">
      <c r="A69" s="6" t="inlineStr">
        <is>
          <t>A042700</t>
        </is>
      </c>
      <c r="B69" s="6" t="n">
        <v>800</v>
      </c>
      <c r="C69" s="6" t="n">
        <v>368000</v>
      </c>
      <c r="D69" s="8">
        <f>IFERROR(B69/C69,NA())</f>
        <v/>
      </c>
      <c r="E69" s="6" t="n">
        <v>194.68</v>
      </c>
      <c r="F69" s="6" t="n">
        <v>405.21</v>
      </c>
      <c r="G69" s="6" t="n">
        <v>682.9400000000001</v>
      </c>
      <c r="H69" s="8">
        <f>IF(AND(E69&lt;F69,F69&lt;G69),1,0)</f>
        <v/>
      </c>
      <c r="I69" s="8">
        <f>IFERROR(MIN(4,INT((RANK.AVG(D69,$D$9:$D$207,1)-1)*5/COUNT($D$9:$D$207)))+H69,NA())</f>
        <v/>
      </c>
    </row>
    <row r="70">
      <c r="A70" s="6" t="inlineStr">
        <is>
          <t>A090430</t>
        </is>
      </c>
      <c r="B70" s="6" t="n">
        <v>1240</v>
      </c>
      <c r="C70" s="6" t="n">
        <v>135300</v>
      </c>
      <c r="D70" s="8">
        <f>IFERROR(B70/C70,NA())</f>
        <v/>
      </c>
      <c r="E70" s="6" t="n">
        <v>469.7</v>
      </c>
      <c r="F70" s="6" t="n">
        <v>628.64</v>
      </c>
      <c r="G70" s="6" t="n">
        <v>776.54</v>
      </c>
      <c r="H70" s="8">
        <f>IF(AND(E70&lt;F70,F70&lt;G70),1,0)</f>
        <v/>
      </c>
      <c r="I70" s="8">
        <f>IFERROR(MIN(4,INT((RANK.AVG(D70,$D$9:$D$207,1)-1)*5/COUNT($D$9:$D$207)))+H70,NA())</f>
        <v/>
      </c>
    </row>
    <row r="71">
      <c r="A71" s="6" t="inlineStr">
        <is>
          <t>A000720</t>
        </is>
      </c>
      <c r="B71" s="6" t="n">
        <v>800</v>
      </c>
      <c r="C71" s="6" t="n">
        <v>161800</v>
      </c>
      <c r="D71" s="8">
        <f>IFERROR(B71/C71,NA())</f>
        <v/>
      </c>
      <c r="E71" s="6" t="n">
        <v>674.99</v>
      </c>
      <c r="F71" s="6" t="n">
        <v>674.99</v>
      </c>
      <c r="G71" s="6" t="n">
        <v>674.99</v>
      </c>
      <c r="H71" s="8">
        <f>IF(AND(E71&lt;F71,F71&lt;G71),1,0)</f>
        <v/>
      </c>
      <c r="I71" s="8">
        <f>IFERROR(MIN(4,INT((RANK.AVG(D71,$D$9:$D$207,1)-1)*5/COUNT($D$9:$D$207)))+H71,NA())</f>
        <v/>
      </c>
    </row>
    <row r="72">
      <c r="A72" s="6" t="inlineStr">
        <is>
          <t>A377300</t>
        </is>
      </c>
      <c r="B72" s="6" t="n">
        <v>0</v>
      </c>
      <c r="C72" s="6" t="n">
        <v>55700</v>
      </c>
      <c r="D72" s="8">
        <f>IFERROR(B72/C72,NA())</f>
        <v/>
      </c>
      <c r="E72" s="6" t="n">
        <v>0</v>
      </c>
      <c r="F72" s="6" t="n">
        <v>0</v>
      </c>
      <c r="G72" s="6" t="n">
        <v>0</v>
      </c>
      <c r="H72" s="8">
        <f>IF(AND(E72&lt;F72,F72&lt;G72),1,0)</f>
        <v/>
      </c>
      <c r="I72" s="8">
        <f>IFERROR(MIN(4,INT((RANK.AVG(D72,$D$9:$D$207,1)-1)*5/COUNT($D$9:$D$207)))+H72,NA())</f>
        <v/>
      </c>
    </row>
    <row r="73">
      <c r="A73" s="6" t="inlineStr">
        <is>
          <t>A005830</t>
        </is>
      </c>
      <c r="B73" s="6" t="n">
        <v>7600</v>
      </c>
      <c r="C73" s="6" t="n">
        <v>167600</v>
      </c>
      <c r="D73" s="8">
        <f>IFERROR(B73/C73,NA())</f>
        <v/>
      </c>
      <c r="E73" s="6" t="n">
        <v>2762</v>
      </c>
      <c r="F73" s="6" t="n">
        <v>3182.3</v>
      </c>
      <c r="G73" s="6" t="n">
        <v>4082.96</v>
      </c>
      <c r="H73" s="8">
        <f>IF(AND(E73&lt;F73,F73&lt;G73),1,0)</f>
        <v/>
      </c>
      <c r="I73" s="8">
        <f>IFERROR(MIN(4,INT((RANK.AVG(D73,$D$9:$D$207,1)-1)*5/COUNT($D$9:$D$207)))+H73,NA())</f>
        <v/>
      </c>
    </row>
    <row r="74">
      <c r="A74" s="6" t="inlineStr">
        <is>
          <t>A010120</t>
        </is>
      </c>
      <c r="B74" s="6" t="n">
        <v>3000</v>
      </c>
      <c r="C74" s="6" t="n">
        <v>278000</v>
      </c>
      <c r="D74" s="8">
        <f>IFERROR(B74/C74,NA())</f>
        <v/>
      </c>
      <c r="E74" s="6" t="n">
        <v>322.92</v>
      </c>
      <c r="F74" s="6" t="n">
        <v>821.97</v>
      </c>
      <c r="G74" s="6" t="n">
        <v>861.34</v>
      </c>
      <c r="H74" s="8">
        <f>IF(AND(E74&lt;F74,F74&lt;G74),1,0)</f>
        <v/>
      </c>
      <c r="I74" s="8">
        <f>IFERROR(MIN(4,INT((RANK.AVG(D74,$D$9:$D$207,1)-1)*5/COUNT($D$9:$D$207)))+H74,NA())</f>
        <v/>
      </c>
    </row>
    <row r="75">
      <c r="A75" s="6" t="inlineStr">
        <is>
          <t>A326030</t>
        </is>
      </c>
      <c r="B75" s="6" t="n">
        <v>0</v>
      </c>
      <c r="C75" s="6" t="n">
        <v>99900</v>
      </c>
      <c r="D75" s="8">
        <f>IFERROR(B75/C75,NA())</f>
        <v/>
      </c>
      <c r="E75" s="6" t="n">
        <v>0</v>
      </c>
      <c r="F75" s="6" t="n">
        <v>0</v>
      </c>
      <c r="G75" s="6" t="n">
        <v>0</v>
      </c>
      <c r="H75" s="8">
        <f>IF(AND(E75&lt;F75,F75&lt;G75),1,0)</f>
        <v/>
      </c>
      <c r="I75" s="8">
        <f>IFERROR(MIN(4,INT((RANK.AVG(D75,$D$9:$D$207,1)-1)*5/COUNT($D$9:$D$207)))+H75,NA())</f>
        <v/>
      </c>
    </row>
    <row r="76">
      <c r="A76" s="6" t="inlineStr">
        <is>
          <t>A000880</t>
        </is>
      </c>
      <c r="B76" s="6" t="n">
        <v>1100</v>
      </c>
      <c r="C76" s="6" t="n">
        <v>133400</v>
      </c>
      <c r="D76" s="8">
        <f>IFERROR(B76/C76,NA())</f>
        <v/>
      </c>
      <c r="E76" s="6" t="n">
        <v>737.3099999999999</v>
      </c>
      <c r="F76" s="6" t="n">
        <v>737.3099999999999</v>
      </c>
      <c r="G76" s="6" t="n">
        <v>721.63</v>
      </c>
      <c r="H76" s="8">
        <f>IF(AND(E76&lt;F76,F76&lt;G76),1,0)</f>
        <v/>
      </c>
      <c r="I76" s="8">
        <f>IFERROR(MIN(4,INT((RANK.AVG(D76,$D$9:$D$207,1)-1)*5/COUNT($D$9:$D$207)))+H76,NA())</f>
        <v/>
      </c>
    </row>
    <row r="77">
      <c r="A77" s="6" t="inlineStr">
        <is>
          <t>A071050</t>
        </is>
      </c>
      <c r="B77" s="6" t="n">
        <v>8690</v>
      </c>
      <c r="C77" s="6" t="n">
        <v>240000</v>
      </c>
      <c r="D77" s="8">
        <f>IFERROR(B77/C77,NA())</f>
        <v/>
      </c>
      <c r="E77" s="6" t="n">
        <v>1346.61</v>
      </c>
      <c r="F77" s="6" t="n">
        <v>1550.99</v>
      </c>
      <c r="G77" s="6" t="n">
        <v>2327.67</v>
      </c>
      <c r="H77" s="8">
        <f>IF(AND(E77&lt;F77,F77&lt;G77),1,0)</f>
        <v/>
      </c>
      <c r="I77" s="8">
        <f>IFERROR(MIN(4,INT((RANK.AVG(D77,$D$9:$D$207,1)-1)*5/COUNT($D$9:$D$207)))+H77,NA())</f>
        <v/>
      </c>
    </row>
    <row r="78">
      <c r="A78" s="6" t="inlineStr">
        <is>
          <t>A021240</t>
        </is>
      </c>
      <c r="B78" s="6" t="n">
        <v>2657</v>
      </c>
      <c r="C78" s="6" t="n">
        <v>86100</v>
      </c>
      <c r="D78" s="8">
        <f>IFERROR(B78/C78,NA())</f>
        <v/>
      </c>
      <c r="E78" s="6" t="n">
        <v>943.33</v>
      </c>
      <c r="F78" s="6" t="n">
        <v>979.61</v>
      </c>
      <c r="G78" s="6" t="n">
        <v>1891.21</v>
      </c>
      <c r="H78" s="8">
        <f>IF(AND(E78&lt;F78,F78&lt;G78),1,0)</f>
        <v/>
      </c>
      <c r="I78" s="8">
        <f>IFERROR(MIN(4,INT((RANK.AVG(D78,$D$9:$D$207,1)-1)*5/COUNT($D$9:$D$207)))+H78,NA())</f>
        <v/>
      </c>
    </row>
    <row r="79">
      <c r="A79" s="6" t="inlineStr">
        <is>
          <t>A010950</t>
        </is>
      </c>
      <c r="B79" s="6" t="n">
        <v>330</v>
      </c>
      <c r="C79" s="6" t="n">
        <v>134500</v>
      </c>
      <c r="D79" s="8">
        <f>IFERROR(B79/C79,NA())</f>
        <v/>
      </c>
      <c r="E79" s="6" t="n">
        <v>3726.42</v>
      </c>
      <c r="F79" s="6" t="n">
        <v>1892.79</v>
      </c>
      <c r="G79" s="6" t="n">
        <v>0.96</v>
      </c>
      <c r="H79" s="8">
        <f>IF(AND(E79&lt;F79,F79&lt;G79),1,0)</f>
        <v/>
      </c>
      <c r="I79" s="8">
        <f>IFERROR(MIN(4,INT((RANK.AVG(D79,$D$9:$D$207,1)-1)*5/COUNT($D$9:$D$207)))+H79,NA())</f>
        <v/>
      </c>
    </row>
    <row r="80">
      <c r="A80" s="6" t="inlineStr">
        <is>
          <t>A009830</t>
        </is>
      </c>
      <c r="B80" s="6" t="n">
        <v>0</v>
      </c>
      <c r="C80" s="6" t="n">
        <v>50700</v>
      </c>
      <c r="D80" s="8">
        <f>IFERROR(B80/C80,NA())</f>
        <v/>
      </c>
      <c r="E80" s="6" t="n">
        <v>0</v>
      </c>
      <c r="F80" s="6" t="n">
        <v>516.9400000000001</v>
      </c>
      <c r="G80" s="6" t="n">
        <v>516.95</v>
      </c>
      <c r="H80" s="8">
        <f>IF(AND(E80&lt;F80,F80&lt;G80),1,0)</f>
        <v/>
      </c>
      <c r="I80" s="8">
        <f>IFERROR(MIN(4,INT((RANK.AVG(D80,$D$9:$D$207,1)-1)*5/COUNT($D$9:$D$207)))+H80,NA())</f>
        <v/>
      </c>
    </row>
    <row r="81">
      <c r="A81" s="6" t="inlineStr">
        <is>
          <t>A298040</t>
        </is>
      </c>
      <c r="B81" s="6" t="n">
        <v>7500</v>
      </c>
      <c r="C81" s="6" t="n">
        <v>3912000</v>
      </c>
      <c r="D81" s="8">
        <f>IFERROR(B81/C81,NA())</f>
        <v/>
      </c>
      <c r="E81" s="6" t="n">
        <v>0</v>
      </c>
      <c r="F81" s="6" t="n">
        <v>232.79</v>
      </c>
      <c r="G81" s="6" t="n">
        <v>465.59</v>
      </c>
      <c r="H81" s="8">
        <f>IF(AND(E81&lt;F81,F81&lt;G81),1,0)</f>
        <v/>
      </c>
      <c r="I81" s="8">
        <f>IFERROR(MIN(4,INT((RANK.AVG(D81,$D$9:$D$207,1)-1)*5/COUNT($D$9:$D$207)))+H81,NA())</f>
        <v/>
      </c>
    </row>
    <row r="82">
      <c r="A82" s="6" t="inlineStr">
        <is>
          <t>A005940</t>
        </is>
      </c>
      <c r="B82" s="6" t="n">
        <v>1300</v>
      </c>
      <c r="C82" s="6" t="n">
        <v>33650</v>
      </c>
      <c r="D82" s="8">
        <f>IFERROR(B82/C82,NA())</f>
        <v/>
      </c>
      <c r="E82" s="6" t="n">
        <v>2458.41</v>
      </c>
      <c r="F82" s="6" t="n">
        <v>2808.26</v>
      </c>
      <c r="G82" s="6" t="n">
        <v>3293.39</v>
      </c>
      <c r="H82" s="8">
        <f>IF(AND(E82&lt;F82,F82&lt;G82),1,0)</f>
        <v/>
      </c>
      <c r="I82" s="8">
        <f>IFERROR(MIN(4,INT((RANK.AVG(D82,$D$9:$D$207,1)-1)*5/COUNT($D$9:$D$207)))+H82,NA())</f>
        <v/>
      </c>
    </row>
    <row r="83">
      <c r="A83" s="6" t="inlineStr">
        <is>
          <t>A029780</t>
        </is>
      </c>
      <c r="B83" s="6" t="n">
        <v>2800</v>
      </c>
      <c r="C83" s="6" t="n">
        <v>53300</v>
      </c>
      <c r="D83" s="8">
        <f>IFERROR(B83/C83,NA())</f>
        <v/>
      </c>
      <c r="E83" s="6" t="n">
        <v>2667.77</v>
      </c>
      <c r="F83" s="6" t="n">
        <v>2667.77</v>
      </c>
      <c r="G83" s="6" t="n">
        <v>2987.9</v>
      </c>
      <c r="H83" s="8">
        <f>IF(AND(E83&lt;F83,F83&lt;G83),1,0)</f>
        <v/>
      </c>
      <c r="I83" s="8">
        <f>IFERROR(MIN(4,INT((RANK.AVG(D83,$D$9:$D$207,1)-1)*5/COUNT($D$9:$D$207)))+H83,NA())</f>
        <v/>
      </c>
    </row>
    <row r="84">
      <c r="A84" s="6" t="inlineStr">
        <is>
          <t>A006260</t>
        </is>
      </c>
      <c r="B84" s="6" t="n">
        <v>2500</v>
      </c>
      <c r="C84" s="6" t="n">
        <v>453000</v>
      </c>
      <c r="D84" s="8">
        <f>IFERROR(B84/C84,NA())</f>
        <v/>
      </c>
      <c r="E84" s="6" t="n">
        <v>425.61</v>
      </c>
      <c r="F84" s="6" t="n">
        <v>438.95</v>
      </c>
      <c r="G84" s="6" t="n">
        <v>451.23</v>
      </c>
      <c r="H84" s="8">
        <f>IF(AND(E84&lt;F84,F84&lt;G84),1,0)</f>
        <v/>
      </c>
      <c r="I84" s="8">
        <f>IFERROR(MIN(4,INT((RANK.AVG(D84,$D$9:$D$207,1)-1)*5/COUNT($D$9:$D$207)))+H84,NA())</f>
        <v/>
      </c>
    </row>
    <row r="85">
      <c r="A85" s="6" t="inlineStr">
        <is>
          <t>A016360</t>
        </is>
      </c>
      <c r="B85" s="6" t="n">
        <v>4000</v>
      </c>
      <c r="C85" s="6" t="n">
        <v>107500</v>
      </c>
      <c r="D85" s="8">
        <f>IFERROR(B85/C85,NA())</f>
        <v/>
      </c>
      <c r="E85" s="6" t="n">
        <v>1518.1</v>
      </c>
      <c r="F85" s="6" t="n">
        <v>1964.6</v>
      </c>
      <c r="G85" s="6" t="n">
        <v>3125.5</v>
      </c>
      <c r="H85" s="8">
        <f>IF(AND(E85&lt;F85,F85&lt;G85),1,0)</f>
        <v/>
      </c>
      <c r="I85" s="8">
        <f>IFERROR(MIN(4,INT((RANK.AVG(D85,$D$9:$D$207,1)-1)*5/COUNT($D$9:$D$207)))+H85,NA())</f>
        <v/>
      </c>
    </row>
    <row r="86">
      <c r="A86" s="6" t="inlineStr">
        <is>
          <t>A032640</t>
        </is>
      </c>
      <c r="B86" s="6" t="n">
        <v>660</v>
      </c>
      <c r="C86" s="6" t="n">
        <v>15840</v>
      </c>
      <c r="D86" s="8">
        <f>IFERROR(B86/C86,NA())</f>
        <v/>
      </c>
      <c r="E86" s="6" t="n">
        <v>2793.88</v>
      </c>
      <c r="F86" s="6" t="n">
        <v>2793.88</v>
      </c>
      <c r="G86" s="6" t="n">
        <v>2793.88</v>
      </c>
      <c r="H86" s="8">
        <f>IF(AND(E86&lt;F86,F86&lt;G86),1,0)</f>
        <v/>
      </c>
      <c r="I86" s="8">
        <f>IFERROR(MIN(4,INT((RANK.AVG(D86,$D$9:$D$207,1)-1)*5/COUNT($D$9:$D$207)))+H86,NA())</f>
        <v/>
      </c>
    </row>
    <row r="87">
      <c r="A87" s="6" t="inlineStr">
        <is>
          <t>A051900</t>
        </is>
      </c>
      <c r="B87" s="6" t="n">
        <v>2000</v>
      </c>
      <c r="C87" s="6" t="n">
        <v>254000</v>
      </c>
      <c r="D87" s="8">
        <f>IFERROR(B87/C87,NA())</f>
        <v/>
      </c>
      <c r="E87" s="6" t="n">
        <v>671.29</v>
      </c>
      <c r="F87" s="6" t="n">
        <v>587.51</v>
      </c>
      <c r="G87" s="6" t="n">
        <v>755.0700000000001</v>
      </c>
      <c r="H87" s="8">
        <f>IF(AND(E87&lt;F87,F87&lt;G87),1,0)</f>
        <v/>
      </c>
      <c r="I87" s="8">
        <f>IFERROR(MIN(4,INT((RANK.AVG(D87,$D$9:$D$207,1)-1)*5/COUNT($D$9:$D$207)))+H87,NA())</f>
        <v/>
      </c>
    </row>
    <row r="88">
      <c r="A88" s="6" t="inlineStr">
        <is>
          <t>A251270</t>
        </is>
      </c>
      <c r="B88" s="6" t="n">
        <v>876</v>
      </c>
      <c r="C88" s="6" t="n">
        <v>49650</v>
      </c>
      <c r="D88" s="8">
        <f>IFERROR(B88/C88,NA())</f>
        <v/>
      </c>
      <c r="E88" s="6" t="n">
        <v>0</v>
      </c>
      <c r="F88" s="6" t="n">
        <v>0</v>
      </c>
      <c r="G88" s="6" t="n">
        <v>341.67</v>
      </c>
      <c r="H88" s="8">
        <f>IF(AND(E88&lt;F88,F88&lt;G88),1,0)</f>
        <v/>
      </c>
      <c r="I88" s="8">
        <f>IFERROR(MIN(4,INT((RANK.AVG(D88,$D$9:$D$207,1)-1)*5/COUNT($D$9:$D$207)))+H88,NA())</f>
        <v/>
      </c>
    </row>
    <row r="89">
      <c r="A89" s="6" t="inlineStr">
        <is>
          <t>A278470</t>
        </is>
      </c>
      <c r="B89" s="6" t="n">
        <v>5090</v>
      </c>
      <c r="C89" s="6" t="n">
        <v>424500</v>
      </c>
      <c r="D89" s="8">
        <f>IFERROR(B89/C89,NA())</f>
        <v/>
      </c>
      <c r="E89" s="6" t="n">
        <v>0</v>
      </c>
      <c r="F89" s="6" t="n">
        <v>0</v>
      </c>
      <c r="G89" s="6" t="n">
        <v>1343.76</v>
      </c>
      <c r="H89" s="8">
        <f>IF(AND(E89&lt;F89,F89&lt;G89),1,0)</f>
        <v/>
      </c>
      <c r="I89" s="8">
        <f>IFERROR(MIN(4,INT((RANK.AVG(D89,$D$9:$D$207,1)-1)*5/COUNT($D$9:$D$207)))+H89,NA())</f>
        <v/>
      </c>
    </row>
    <row r="90">
      <c r="A90" s="6" t="inlineStr">
        <is>
          <t>A064400</t>
        </is>
      </c>
      <c r="B90" s="6" t="n">
        <v>1850</v>
      </c>
      <c r="C90" s="6" t="n">
        <v>65000</v>
      </c>
      <c r="D90" s="8">
        <f>IFERROR(B90/C90,NA())</f>
        <v/>
      </c>
      <c r="E90" s="6" t="n">
        <v>1037.65</v>
      </c>
      <c r="F90" s="6" t="n">
        <v>1325.4</v>
      </c>
      <c r="G90" s="6" t="n">
        <v>2184.58</v>
      </c>
      <c r="H90" s="8">
        <f>IF(AND(E90&lt;F90,F90&lt;G90),1,0)</f>
        <v/>
      </c>
      <c r="I90" s="8">
        <f>IFERROR(MIN(4,INT((RANK.AVG(D90,$D$9:$D$207,1)-1)*5/COUNT($D$9:$D$207)))+H90,NA())</f>
        <v/>
      </c>
    </row>
    <row r="91">
      <c r="A91" s="6" t="inlineStr">
        <is>
          <t>A161390</t>
        </is>
      </c>
      <c r="B91" s="6" t="n">
        <v>2300</v>
      </c>
      <c r="C91" s="6" t="n">
        <v>59200</v>
      </c>
      <c r="D91" s="8">
        <f>IFERROR(B91/C91,NA())</f>
        <v/>
      </c>
      <c r="E91" s="6" t="n">
        <v>975.91</v>
      </c>
      <c r="F91" s="6" t="n">
        <v>1585.85</v>
      </c>
      <c r="G91" s="6" t="n">
        <v>3415.69</v>
      </c>
      <c r="H91" s="8">
        <f>IF(AND(E91&lt;F91,F91&lt;G91),1,0)</f>
        <v/>
      </c>
      <c r="I91" s="8">
        <f>IFERROR(MIN(4,INT((RANK.AVG(D91,$D$9:$D$207,1)-1)*5/COUNT($D$9:$D$207)))+H91,NA())</f>
        <v/>
      </c>
    </row>
    <row r="92">
      <c r="A92" s="6" t="inlineStr">
        <is>
          <t>A241560</t>
        </is>
      </c>
      <c r="B92" s="6" t="n">
        <v>1700</v>
      </c>
      <c r="C92" s="6" t="n">
        <v>72000</v>
      </c>
      <c r="D92" s="8">
        <f>IFERROR(B92/C92,NA())</f>
        <v/>
      </c>
      <c r="E92" s="6" t="n">
        <v>1552.84</v>
      </c>
      <c r="F92" s="6" t="n">
        <v>1601.96</v>
      </c>
      <c r="G92" s="6" t="n">
        <v>1938.69</v>
      </c>
      <c r="H92" s="8">
        <f>IF(AND(E92&lt;F92,F92&lt;G92),1,0)</f>
        <v/>
      </c>
      <c r="I92" s="8">
        <f>IFERROR(MIN(4,INT((RANK.AVG(D92,$D$9:$D$207,1)-1)*5/COUNT($D$9:$D$207)))+H92,NA())</f>
        <v/>
      </c>
    </row>
    <row r="93">
      <c r="A93" s="6" t="inlineStr">
        <is>
          <t>A039490</t>
        </is>
      </c>
      <c r="B93" s="6" t="n">
        <v>11500</v>
      </c>
      <c r="C93" s="6" t="n">
        <v>398000</v>
      </c>
      <c r="D93" s="8">
        <f>IFERROR(B93/C93,NA())</f>
        <v/>
      </c>
      <c r="E93" s="6" t="n">
        <v>892.1799999999999</v>
      </c>
      <c r="F93" s="6" t="n">
        <v>880.99</v>
      </c>
      <c r="G93" s="6" t="n">
        <v>2056.79</v>
      </c>
      <c r="H93" s="8">
        <f>IF(AND(E93&lt;F93,F93&lt;G93),1,0)</f>
        <v/>
      </c>
      <c r="I93" s="8">
        <f>IFERROR(MIN(4,INT((RANK.AVG(D93,$D$9:$D$207,1)-1)*5/COUNT($D$9:$D$207)))+H93,NA())</f>
        <v/>
      </c>
    </row>
    <row r="94">
      <c r="A94" s="6" t="inlineStr">
        <is>
          <t>A001040</t>
        </is>
      </c>
      <c r="B94" s="6" t="n">
        <v>3300</v>
      </c>
      <c r="C94" s="6" t="n">
        <v>224500</v>
      </c>
      <c r="D94" s="8">
        <f>IFERROR(B94/C94,NA())</f>
        <v/>
      </c>
      <c r="E94" s="6" t="n">
        <v>839.4</v>
      </c>
      <c r="F94" s="6" t="n">
        <v>1007.06</v>
      </c>
      <c r="G94" s="6" t="n">
        <v>1007.06</v>
      </c>
      <c r="H94" s="8">
        <f>IF(AND(E94&lt;F94,F94&lt;G94),1,0)</f>
        <v/>
      </c>
      <c r="I94" s="8">
        <f>IFERROR(MIN(4,INT((RANK.AVG(D94,$D$9:$D$207,1)-1)*5/COUNT($D$9:$D$207)))+H94,NA())</f>
        <v/>
      </c>
    </row>
    <row r="95">
      <c r="A95" s="6" t="inlineStr">
        <is>
          <t>A028050</t>
        </is>
      </c>
      <c r="B95" s="6" t="n">
        <v>790</v>
      </c>
      <c r="C95" s="6" t="n">
        <v>53100</v>
      </c>
      <c r="D95" s="8">
        <f>IFERROR(B95/C95,NA())</f>
        <v/>
      </c>
      <c r="E95" s="6" t="n">
        <v>0</v>
      </c>
      <c r="F95" s="6" t="n">
        <v>0</v>
      </c>
      <c r="G95" s="6" t="n">
        <v>1293.6</v>
      </c>
      <c r="H95" s="8">
        <f>IF(AND(E95&lt;F95,F95&lt;G95),1,0)</f>
        <v/>
      </c>
      <c r="I95" s="8">
        <f>IFERROR(MIN(4,INT((RANK.AVG(D95,$D$9:$D$207,1)-1)*5/COUNT($D$9:$D$207)))+H95,NA())</f>
        <v/>
      </c>
    </row>
    <row r="96">
      <c r="A96" s="6" t="inlineStr">
        <is>
          <t>A271560</t>
        </is>
      </c>
      <c r="B96" s="6" t="n">
        <v>3500</v>
      </c>
      <c r="C96" s="6" t="n">
        <v>143600</v>
      </c>
      <c r="D96" s="8">
        <f>IFERROR(B96/C96,NA())</f>
        <v/>
      </c>
      <c r="E96" s="6" t="n">
        <v>375.52</v>
      </c>
      <c r="F96" s="6" t="n">
        <v>494.11</v>
      </c>
      <c r="G96" s="6" t="n">
        <v>988.22</v>
      </c>
      <c r="H96" s="8">
        <f>IF(AND(E96&lt;F96,F96&lt;G96),1,0)</f>
        <v/>
      </c>
      <c r="I96" s="8">
        <f>IFERROR(MIN(4,INT((RANK.AVG(D96,$D$9:$D$207,1)-1)*5/COUNT($D$9:$D$207)))+H96,NA())</f>
        <v/>
      </c>
    </row>
    <row r="97">
      <c r="A97" s="6" t="inlineStr">
        <is>
          <t>A034220</t>
        </is>
      </c>
      <c r="B97" s="6" t="n">
        <v>0</v>
      </c>
      <c r="C97" s="6" t="n">
        <v>12260</v>
      </c>
      <c r="D97" s="8">
        <f>IFERROR(B97/C97,NA())</f>
        <v/>
      </c>
      <c r="E97" s="6" t="n">
        <v>0</v>
      </c>
      <c r="F97" s="6" t="n">
        <v>0</v>
      </c>
      <c r="G97" s="6" t="n">
        <v>0</v>
      </c>
      <c r="H97" s="8">
        <f>IF(AND(E97&lt;F97,F97&lt;G97),1,0)</f>
        <v/>
      </c>
      <c r="I97" s="8">
        <f>IFERROR(MIN(4,INT((RANK.AVG(D97,$D$9:$D$207,1)-1)*5/COUNT($D$9:$D$207)))+H97,NA())</f>
        <v/>
      </c>
    </row>
    <row r="98">
      <c r="A98" s="6" t="inlineStr">
        <is>
          <t>A078930</t>
        </is>
      </c>
      <c r="B98" s="6" t="n">
        <v>3000</v>
      </c>
      <c r="C98" s="6" t="n">
        <v>81900</v>
      </c>
      <c r="D98" s="8">
        <f>IFERROR(B98/C98,NA())</f>
        <v/>
      </c>
      <c r="E98" s="6" t="n">
        <v>2367.77</v>
      </c>
      <c r="F98" s="6" t="n">
        <v>2367.77</v>
      </c>
      <c r="G98" s="6" t="n">
        <v>2557.12</v>
      </c>
      <c r="H98" s="8">
        <f>IF(AND(E98&lt;F98,F98&lt;G98),1,0)</f>
        <v/>
      </c>
      <c r="I98" s="8">
        <f>IFERROR(MIN(4,INT((RANK.AVG(D98,$D$9:$D$207,1)-1)*5/COUNT($D$9:$D$207)))+H98,NA())</f>
        <v/>
      </c>
    </row>
    <row r="99">
      <c r="A99" s="6" t="inlineStr">
        <is>
          <t>A004020</t>
        </is>
      </c>
      <c r="B99" s="6" t="n">
        <v>500</v>
      </c>
      <c r="C99" s="6" t="n">
        <v>42550</v>
      </c>
      <c r="D99" s="8">
        <f>IFERROR(B99/C99,NA())</f>
        <v/>
      </c>
      <c r="E99" s="6" t="n">
        <v>1315.46</v>
      </c>
      <c r="F99" s="6" t="n">
        <v>1315.46</v>
      </c>
      <c r="G99" s="6" t="n">
        <v>986.59</v>
      </c>
      <c r="H99" s="8">
        <f>IF(AND(E99&lt;F99,F99&lt;G99),1,0)</f>
        <v/>
      </c>
      <c r="I99" s="8">
        <f>IFERROR(MIN(4,INT((RANK.AVG(D99,$D$9:$D$207,1)-1)*5/COUNT($D$9:$D$207)))+H99,NA())</f>
        <v/>
      </c>
    </row>
    <row r="100">
      <c r="A100" s="6" t="inlineStr">
        <is>
          <t>A307950</t>
        </is>
      </c>
      <c r="B100" s="6" t="n">
        <v>1900</v>
      </c>
      <c r="C100" s="6" t="n">
        <v>450500</v>
      </c>
      <c r="D100" s="8">
        <f>IFERROR(B100/C100,NA())</f>
        <v/>
      </c>
      <c r="E100" s="6" t="n">
        <v>312.62</v>
      </c>
      <c r="F100" s="6" t="n">
        <v>392.15</v>
      </c>
      <c r="G100" s="6" t="n">
        <v>488.13</v>
      </c>
      <c r="H100" s="8">
        <f>IF(AND(E100&lt;F100,F100&lt;G100),1,0)</f>
        <v/>
      </c>
      <c r="I100" s="8">
        <f>IFERROR(MIN(4,INT((RANK.AVG(D100,$D$9:$D$207,1)-1)*5/COUNT($D$9:$D$207)))+H100,NA())</f>
        <v/>
      </c>
    </row>
    <row r="101">
      <c r="A101" s="6" t="inlineStr">
        <is>
          <t>A128940</t>
        </is>
      </c>
      <c r="B101" s="6" t="n">
        <v>2000</v>
      </c>
      <c r="C101" s="6" t="n">
        <v>460000</v>
      </c>
      <c r="D101" s="8">
        <f>IFERROR(B101/C101,NA())</f>
        <v/>
      </c>
      <c r="E101" s="6" t="n">
        <v>61.05</v>
      </c>
      <c r="F101" s="6" t="n">
        <v>93.91</v>
      </c>
      <c r="G101" s="6" t="n">
        <v>126.8</v>
      </c>
      <c r="H101" s="8">
        <f>IF(AND(E101&lt;F101,F101&lt;G101),1,0)</f>
        <v/>
      </c>
      <c r="I101" s="8">
        <f>IFERROR(MIN(4,INT((RANK.AVG(D101,$D$9:$D$207,1)-1)*5/COUNT($D$9:$D$207)))+H101,NA())</f>
        <v/>
      </c>
    </row>
    <row r="102">
      <c r="A102" s="6" t="inlineStr">
        <is>
          <t>A036570</t>
        </is>
      </c>
      <c r="B102" s="6" t="n">
        <v>1150</v>
      </c>
      <c r="C102" s="6" t="n">
        <v>270500</v>
      </c>
      <c r="D102" s="8">
        <f>IFERROR(B102/C102,NA())</f>
        <v/>
      </c>
      <c r="E102" s="6" t="n">
        <v>1356.54</v>
      </c>
      <c r="F102" s="6" t="n">
        <v>635.62</v>
      </c>
      <c r="G102" s="6" t="n">
        <v>283.14</v>
      </c>
      <c r="H102" s="8">
        <f>IF(AND(E102&lt;F102,F102&lt;G102),1,0)</f>
        <v/>
      </c>
      <c r="I102" s="8">
        <f>IFERROR(MIN(4,INT((RANK.AVG(D102,$D$9:$D$207,1)-1)*5/COUNT($D$9:$D$207)))+H102,NA())</f>
        <v/>
      </c>
    </row>
    <row r="103">
      <c r="A103" s="6" t="inlineStr">
        <is>
          <t>A175330</t>
        </is>
      </c>
      <c r="B103" s="6" t="n">
        <v>1291</v>
      </c>
      <c r="C103" s="6" t="n">
        <v>27300</v>
      </c>
      <c r="D103" s="8">
        <f>IFERROR(B103/C103,NA())</f>
        <v/>
      </c>
      <c r="E103" s="6" t="n">
        <v>1622.77</v>
      </c>
      <c r="F103" s="6" t="n">
        <v>2011.75</v>
      </c>
      <c r="G103" s="6" t="n">
        <v>2200.19</v>
      </c>
      <c r="H103" s="8">
        <f>IF(AND(E103&lt;F103,F103&lt;G103),1,0)</f>
        <v/>
      </c>
      <c r="I103" s="8">
        <f>IFERROR(MIN(4,INT((RANK.AVG(D103,$D$9:$D$207,1)-1)*5/COUNT($D$9:$D$207)))+H103,NA())</f>
        <v/>
      </c>
    </row>
    <row r="104">
      <c r="A104" s="6" t="inlineStr">
        <is>
          <t>A138930</t>
        </is>
      </c>
      <c r="B104" s="6" t="n">
        <v>765</v>
      </c>
      <c r="C104" s="6" t="n">
        <v>18730</v>
      </c>
      <c r="D104" s="8">
        <f>IFERROR(B104/C104,NA())</f>
        <v/>
      </c>
      <c r="E104" s="6" t="n">
        <v>2349.79</v>
      </c>
      <c r="F104" s="6" t="n">
        <v>1961.44</v>
      </c>
      <c r="G104" s="6" t="n">
        <v>2560.6</v>
      </c>
      <c r="H104" s="8">
        <f>IF(AND(E104&lt;F104,F104&lt;G104),1,0)</f>
        <v/>
      </c>
      <c r="I104" s="8">
        <f>IFERROR(MIN(4,INT((RANK.AVG(D104,$D$9:$D$207,1)-1)*5/COUNT($D$9:$D$207)))+H104,NA())</f>
        <v/>
      </c>
    </row>
    <row r="105">
      <c r="A105" s="6" t="inlineStr">
        <is>
          <t>A097950</t>
        </is>
      </c>
      <c r="B105" s="6" t="n">
        <v>6000</v>
      </c>
      <c r="C105" s="6" t="n">
        <v>246500</v>
      </c>
      <c r="D105" s="8">
        <f>IFERROR(B105/C105,NA())</f>
        <v/>
      </c>
      <c r="E105" s="6" t="n">
        <v>881.9400000000001</v>
      </c>
      <c r="F105" s="6" t="n">
        <v>881.9400000000001</v>
      </c>
      <c r="G105" s="6" t="n">
        <v>1202.4</v>
      </c>
      <c r="H105" s="8">
        <f>IF(AND(E105&lt;F105,F105&lt;G105),1,0)</f>
        <v/>
      </c>
      <c r="I105" s="8">
        <f>IFERROR(MIN(4,INT((RANK.AVG(D105,$D$9:$D$207,1)-1)*5/COUNT($D$9:$D$207)))+H105,NA())</f>
        <v/>
      </c>
    </row>
    <row r="106">
      <c r="A106" s="6" t="inlineStr">
        <is>
          <t>A035250</t>
        </is>
      </c>
      <c r="B106" s="6" t="n">
        <v>950</v>
      </c>
      <c r="C106" s="6" t="n">
        <v>17200</v>
      </c>
      <c r="D106" s="8">
        <f>IFERROR(B106/C106,NA())</f>
        <v/>
      </c>
      <c r="E106" s="6" t="n">
        <v>709.59</v>
      </c>
      <c r="F106" s="6" t="n">
        <v>1885.47</v>
      </c>
      <c r="G106" s="6" t="n">
        <v>2344.75</v>
      </c>
      <c r="H106" s="8">
        <f>IF(AND(E106&lt;F106,F106&lt;G106),1,0)</f>
        <v/>
      </c>
      <c r="I106" s="8">
        <f>IFERROR(MIN(4,INT((RANK.AVG(D106,$D$9:$D$207,1)-1)*5/COUNT($D$9:$D$207)))+H106,NA())</f>
        <v/>
      </c>
    </row>
    <row r="107">
      <c r="A107" s="6" t="inlineStr">
        <is>
          <t>A011790</t>
        </is>
      </c>
      <c r="B107" s="6" t="n">
        <v>0</v>
      </c>
      <c r="C107" s="6" t="n">
        <v>118000</v>
      </c>
      <c r="D107" s="8">
        <f>IFERROR(B107/C107,NA())</f>
        <v/>
      </c>
      <c r="E107" s="6" t="n">
        <v>373.82</v>
      </c>
      <c r="F107" s="6" t="n">
        <v>0</v>
      </c>
      <c r="G107" s="6" t="n">
        <v>0</v>
      </c>
      <c r="H107" s="8">
        <f>IF(AND(E107&lt;F107,F107&lt;G107),1,0)</f>
        <v/>
      </c>
      <c r="I107" s="8">
        <f>IFERROR(MIN(4,INT((RANK.AVG(D107,$D$9:$D$207,1)-1)*5/COUNT($D$9:$D$207)))+H107,NA())</f>
        <v/>
      </c>
    </row>
    <row r="108">
      <c r="A108" s="6" t="inlineStr">
        <is>
          <t>A302440</t>
        </is>
      </c>
      <c r="B108" s="6" t="n">
        <v>0</v>
      </c>
      <c r="C108" s="6" t="n">
        <v>43050</v>
      </c>
      <c r="D108" s="8">
        <f>IFERROR(B108/C108,NA())</f>
        <v/>
      </c>
      <c r="E108" s="6" t="n">
        <v>0</v>
      </c>
      <c r="F108" s="6" t="n">
        <v>0</v>
      </c>
      <c r="G108" s="6" t="n">
        <v>0</v>
      </c>
      <c r="H108" s="8">
        <f>IF(AND(E108&lt;F108,F108&lt;G108),1,0)</f>
        <v/>
      </c>
      <c r="I108" s="8">
        <f>IFERROR(MIN(4,INT((RANK.AVG(D108,$D$9:$D$207,1)-1)*5/COUNT($D$9:$D$207)))+H108,NA())</f>
        <v/>
      </c>
    </row>
    <row r="109">
      <c r="A109" s="6" t="inlineStr">
        <is>
          <t>A011070</t>
        </is>
      </c>
      <c r="B109" s="6" t="n">
        <v>1880</v>
      </c>
      <c r="C109" s="6" t="n">
        <v>573000</v>
      </c>
      <c r="D109" s="8">
        <f>IFERROR(B109/C109,NA())</f>
        <v/>
      </c>
      <c r="E109" s="6" t="n">
        <v>982.08</v>
      </c>
      <c r="F109" s="6" t="n">
        <v>617.64</v>
      </c>
      <c r="G109" s="6" t="n">
        <v>494.59</v>
      </c>
      <c r="H109" s="8">
        <f>IF(AND(E109&lt;F109,F109&lt;G109),1,0)</f>
        <v/>
      </c>
      <c r="I109" s="8">
        <f>IFERROR(MIN(4,INT((RANK.AVG(D109,$D$9:$D$207,1)-1)*5/COUNT($D$9:$D$207)))+H109,NA())</f>
        <v/>
      </c>
    </row>
    <row r="110">
      <c r="A110" s="6" t="inlineStr">
        <is>
          <t>A036460</t>
        </is>
      </c>
      <c r="B110" s="6" t="n">
        <v>1154</v>
      </c>
      <c r="C110" s="6" t="n">
        <v>39100</v>
      </c>
      <c r="D110" s="8">
        <f>IFERROR(B110/C110,NA())</f>
        <v/>
      </c>
      <c r="E110" s="6" t="n">
        <v>0</v>
      </c>
      <c r="F110" s="6" t="n">
        <v>0</v>
      </c>
      <c r="G110" s="6" t="n">
        <v>1269.86</v>
      </c>
      <c r="H110" s="8">
        <f>IF(AND(E110&lt;F110,F110&lt;G110),1,0)</f>
        <v/>
      </c>
      <c r="I110" s="8">
        <f>IFERROR(MIN(4,INT((RANK.AVG(D110,$D$9:$D$207,1)-1)*5/COUNT($D$9:$D$207)))+H110,NA())</f>
        <v/>
      </c>
    </row>
    <row r="111">
      <c r="A111" s="6" t="inlineStr">
        <is>
          <t>A022100</t>
        </is>
      </c>
      <c r="B111" s="6" t="n">
        <v>125</v>
      </c>
      <c r="C111" s="6" t="n">
        <v>34900</v>
      </c>
      <c r="D111" s="8">
        <f>IFERROR(B111/C111,NA())</f>
        <v/>
      </c>
      <c r="E111" s="6" t="n">
        <v>113.86</v>
      </c>
      <c r="F111" s="6" t="n">
        <v>151.82</v>
      </c>
      <c r="G111" s="6" t="n">
        <v>189.78</v>
      </c>
      <c r="H111" s="8">
        <f>IF(AND(E111&lt;F111,F111&lt;G111),1,0)</f>
        <v/>
      </c>
      <c r="I111" s="8">
        <f>IFERROR(MIN(4,INT((RANK.AVG(D111,$D$9:$D$207,1)-1)*5/COUNT($D$9:$D$207)))+H111,NA())</f>
        <v/>
      </c>
    </row>
    <row r="112">
      <c r="A112" s="6" t="inlineStr">
        <is>
          <t>A454910</t>
        </is>
      </c>
      <c r="B112" s="6" t="n">
        <v>0</v>
      </c>
      <c r="C112" s="6" t="n">
        <v>110200</v>
      </c>
      <c r="D112" s="8">
        <f>IFERROR(B112/C112,NA())</f>
        <v/>
      </c>
      <c r="E112" s="6" t="n">
        <v>0</v>
      </c>
      <c r="F112" s="6" t="n">
        <v>0</v>
      </c>
      <c r="G112" s="6" t="n">
        <v>0</v>
      </c>
      <c r="H112" s="8">
        <f>IF(AND(E112&lt;F112,F112&lt;G112),1,0)</f>
        <v/>
      </c>
      <c r="I112" s="8">
        <f>IFERROR(MIN(4,INT((RANK.AVG(D112,$D$9:$D$207,1)-1)*5/COUNT($D$9:$D$207)))+H112,NA())</f>
        <v/>
      </c>
    </row>
    <row r="113">
      <c r="A113" s="6" t="inlineStr">
        <is>
          <t>A007660</t>
        </is>
      </c>
      <c r="B113" s="6" t="n">
        <v>230</v>
      </c>
      <c r="C113" s="6" t="n">
        <v>150300</v>
      </c>
      <c r="D113" s="8">
        <f>IFERROR(B113/C113,NA())</f>
        <v/>
      </c>
      <c r="E113" s="6" t="n">
        <v>63.25</v>
      </c>
      <c r="F113" s="6" t="n">
        <v>63.25</v>
      </c>
      <c r="G113" s="6" t="n">
        <v>94.87</v>
      </c>
      <c r="H113" s="8">
        <f>IF(AND(E113&lt;F113,F113&lt;G113),1,0)</f>
        <v/>
      </c>
      <c r="I113" s="8">
        <f>IFERROR(MIN(4,INT((RANK.AVG(D113,$D$9:$D$207,1)-1)*5/COUNT($D$9:$D$207)))+H113,NA())</f>
        <v/>
      </c>
    </row>
    <row r="114">
      <c r="A114" s="6" t="inlineStr">
        <is>
          <t>A011780</t>
        </is>
      </c>
      <c r="B114" s="6" t="n">
        <v>1700</v>
      </c>
      <c r="C114" s="6" t="n">
        <v>146600</v>
      </c>
      <c r="D114" s="8">
        <f>IFERROR(B114/C114,NA())</f>
        <v/>
      </c>
      <c r="E114" s="6" t="n">
        <v>1464.32</v>
      </c>
      <c r="F114" s="6" t="n">
        <v>764.86</v>
      </c>
      <c r="G114" s="6" t="n">
        <v>573.17</v>
      </c>
      <c r="H114" s="8">
        <f>IF(AND(E114&lt;F114,F114&lt;G114),1,0)</f>
        <v/>
      </c>
      <c r="I114" s="8">
        <f>IFERROR(MIN(4,INT((RANK.AVG(D114,$D$9:$D$207,1)-1)*5/COUNT($D$9:$D$207)))+H114,NA())</f>
        <v/>
      </c>
    </row>
    <row r="115">
      <c r="A115" s="6" t="inlineStr">
        <is>
          <t>A004990</t>
        </is>
      </c>
      <c r="B115" s="6" t="n">
        <v>1250</v>
      </c>
      <c r="C115" s="6" t="n">
        <v>30550</v>
      </c>
      <c r="D115" s="8">
        <f>IFERROR(B115/C115,NA())</f>
        <v/>
      </c>
      <c r="E115" s="6" t="n">
        <v>1073.34</v>
      </c>
      <c r="F115" s="6" t="n">
        <v>1073.34</v>
      </c>
      <c r="G115" s="6" t="n">
        <v>858.74</v>
      </c>
      <c r="H115" s="8">
        <f>IF(AND(E115&lt;F115,F115&lt;G115),1,0)</f>
        <v/>
      </c>
      <c r="I115" s="8">
        <f>IFERROR(MIN(4,INT((RANK.AVG(D115,$D$9:$D$207,1)-1)*5/COUNT($D$9:$D$207)))+H115,NA())</f>
        <v/>
      </c>
    </row>
    <row r="116">
      <c r="A116" s="6" t="inlineStr">
        <is>
          <t>A450080</t>
        </is>
      </c>
      <c r="B116" s="6" t="n">
        <v>0</v>
      </c>
      <c r="C116" s="6" t="n">
        <v>80300</v>
      </c>
      <c r="D116" s="8">
        <f>IFERROR(B116/C116,NA())</f>
        <v/>
      </c>
      <c r="E116" s="6" t="n">
        <v>0</v>
      </c>
      <c r="F116" s="6" t="n">
        <v>0</v>
      </c>
      <c r="G116" s="6" t="n">
        <v>0</v>
      </c>
      <c r="H116" s="8">
        <f>IF(AND(E116&lt;F116,F116&lt;G116),1,0)</f>
        <v/>
      </c>
      <c r="I116" s="8">
        <f>IFERROR(MIN(4,INT((RANK.AVG(D116,$D$9:$D$207,1)-1)*5/COUNT($D$9:$D$207)))+H116,NA())</f>
        <v/>
      </c>
    </row>
    <row r="117">
      <c r="A117" s="6" t="inlineStr">
        <is>
          <t>A017800</t>
        </is>
      </c>
      <c r="B117" s="6" t="n">
        <v>15010</v>
      </c>
      <c r="C117" s="6" t="n">
        <v>98700</v>
      </c>
      <c r="D117" s="8">
        <f>IFERROR(B117/C117,NA())</f>
        <v/>
      </c>
      <c r="E117" s="6" t="n">
        <v>198.91</v>
      </c>
      <c r="F117" s="6" t="n">
        <v>1985.78</v>
      </c>
      <c r="G117" s="6" t="n">
        <v>2166.3</v>
      </c>
      <c r="H117" s="8">
        <f>IF(AND(E117&lt;F117,F117&lt;G117),1,0)</f>
        <v/>
      </c>
      <c r="I117" s="8">
        <f>IFERROR(MIN(4,INT((RANK.AVG(D117,$D$9:$D$207,1)-1)*5/COUNT($D$9:$D$207)))+H117,NA())</f>
        <v/>
      </c>
    </row>
    <row r="118">
      <c r="A118" s="6" t="inlineStr">
        <is>
          <t>A001440</t>
        </is>
      </c>
      <c r="B118" s="6" t="n">
        <v>0</v>
      </c>
      <c r="C118" s="6" t="n">
        <v>56300</v>
      </c>
      <c r="D118" s="8">
        <f>IFERROR(B118/C118,NA())</f>
        <v/>
      </c>
      <c r="E118" s="6" t="n">
        <v>0</v>
      </c>
      <c r="F118" s="6" t="n">
        <v>0</v>
      </c>
      <c r="G118" s="6" t="n">
        <v>0</v>
      </c>
      <c r="H118" s="8">
        <f>IF(AND(E118&lt;F118,F118&lt;G118),1,0)</f>
        <v/>
      </c>
      <c r="I118" s="8">
        <f>IFERROR(MIN(4,INT((RANK.AVG(D118,$D$9:$D$207,1)-1)*5/COUNT($D$9:$D$207)))+H118,NA())</f>
        <v/>
      </c>
    </row>
    <row r="119">
      <c r="A119" s="6" t="inlineStr">
        <is>
          <t>A383220</t>
        </is>
      </c>
      <c r="B119" s="6" t="n">
        <v>2700</v>
      </c>
      <c r="C119" s="6" t="n">
        <v>66900</v>
      </c>
      <c r="D119" s="8">
        <f>IFERROR(B119/C119,NA())</f>
        <v/>
      </c>
      <c r="E119" s="6" t="n">
        <v>610.28</v>
      </c>
      <c r="F119" s="6" t="n">
        <v>648.4299999999999</v>
      </c>
      <c r="G119" s="6" t="n">
        <v>638.9299999999999</v>
      </c>
      <c r="H119" s="8">
        <f>IF(AND(E119&lt;F119,F119&lt;G119),1,0)</f>
        <v/>
      </c>
      <c r="I119" s="8">
        <f>IFERROR(MIN(4,INT((RANK.AVG(D119,$D$9:$D$207,1)-1)*5/COUNT($D$9:$D$207)))+H119,NA())</f>
        <v/>
      </c>
    </row>
    <row r="120">
      <c r="A120" s="6" t="inlineStr">
        <is>
          <t>A002380</t>
        </is>
      </c>
      <c r="B120" s="6" t="n">
        <v>15000</v>
      </c>
      <c r="C120" s="6" t="n">
        <v>555000</v>
      </c>
      <c r="D120" s="8">
        <f>IFERROR(B120/C120,NA())</f>
        <v/>
      </c>
      <c r="E120" s="6" t="n">
        <v>588.33</v>
      </c>
      <c r="F120" s="6" t="n">
        <v>588.33</v>
      </c>
      <c r="G120" s="6" t="n">
        <v>735.42</v>
      </c>
      <c r="H120" s="8">
        <f>IF(AND(E120&lt;F120,F120&lt;G120),1,0)</f>
        <v/>
      </c>
      <c r="I120" s="8">
        <f>IFERROR(MIN(4,INT((RANK.AVG(D120,$D$9:$D$207,1)-1)*5/COUNT($D$9:$D$207)))+H120,NA())</f>
        <v/>
      </c>
    </row>
    <row r="121">
      <c r="A121" s="6" t="inlineStr">
        <is>
          <t>A011170</t>
        </is>
      </c>
      <c r="B121" s="6" t="n">
        <v>1000</v>
      </c>
      <c r="C121" s="6" t="n">
        <v>113900</v>
      </c>
      <c r="D121" s="8">
        <f>IFERROR(B121/C121,NA())</f>
        <v/>
      </c>
      <c r="E121" s="6" t="n">
        <v>1189.67</v>
      </c>
      <c r="F121" s="6" t="n">
        <v>1897.85</v>
      </c>
      <c r="G121" s="6" t="n">
        <v>632.51</v>
      </c>
      <c r="H121" s="8">
        <f>IF(AND(E121&lt;F121,F121&lt;G121),1,0)</f>
        <v/>
      </c>
      <c r="I121" s="8">
        <f>IFERROR(MIN(4,INT((RANK.AVG(D121,$D$9:$D$207,1)-1)*5/COUNT($D$9:$D$207)))+H121,NA())</f>
        <v/>
      </c>
    </row>
    <row r="122">
      <c r="A122" s="6" t="inlineStr">
        <is>
          <t>A088350</t>
        </is>
      </c>
      <c r="B122" s="6" t="n">
        <v>0</v>
      </c>
      <c r="C122" s="6" t="n">
        <v>4885</v>
      </c>
      <c r="D122" s="8">
        <f>IFERROR(B122/C122,NA())</f>
        <v/>
      </c>
      <c r="E122" s="6" t="n">
        <v>0</v>
      </c>
      <c r="F122" s="6" t="n">
        <v>1127.09</v>
      </c>
      <c r="G122" s="6" t="n">
        <v>0</v>
      </c>
      <c r="H122" s="8">
        <f>IF(AND(E122&lt;F122,F122&lt;G122),1,0)</f>
        <v/>
      </c>
      <c r="I122" s="8">
        <f>IFERROR(MIN(4,INT((RANK.AVG(D122,$D$9:$D$207,1)-1)*5/COUNT($D$9:$D$207)))+H122,NA())</f>
        <v/>
      </c>
    </row>
    <row r="123">
      <c r="A123" s="6" t="inlineStr">
        <is>
          <t>A052690</t>
        </is>
      </c>
      <c r="B123" s="6" t="n">
        <v>1347</v>
      </c>
      <c r="C123" s="6" t="n">
        <v>188600</v>
      </c>
      <c r="D123" s="8">
        <f>IFERROR(B123/C123,NA())</f>
        <v/>
      </c>
      <c r="E123" s="6" t="n">
        <v>107.66</v>
      </c>
      <c r="F123" s="6" t="n">
        <v>195.92</v>
      </c>
      <c r="G123" s="6" t="n">
        <v>380.05</v>
      </c>
      <c r="H123" s="8">
        <f>IF(AND(E123&lt;F123,F123&lt;G123),1,0)</f>
        <v/>
      </c>
      <c r="I123" s="8">
        <f>IFERROR(MIN(4,INT((RANK.AVG(D123,$D$9:$D$207,1)-1)*5/COUNT($D$9:$D$207)))+H123,NA())</f>
        <v/>
      </c>
    </row>
    <row r="124">
      <c r="A124" s="6" t="inlineStr">
        <is>
          <t>A192820</t>
        </is>
      </c>
      <c r="B124" s="6" t="n">
        <v>3300</v>
      </c>
      <c r="C124" s="6" t="n">
        <v>210500</v>
      </c>
      <c r="D124" s="8">
        <f>IFERROR(B124/C124,NA())</f>
        <v/>
      </c>
      <c r="E124" s="6" t="n">
        <v>0</v>
      </c>
      <c r="F124" s="6" t="n">
        <v>56.73</v>
      </c>
      <c r="G124" s="6" t="n">
        <v>260.95</v>
      </c>
      <c r="H124" s="8">
        <f>IF(AND(E124&lt;F124,F124&lt;G124),1,0)</f>
        <v/>
      </c>
      <c r="I124" s="8">
        <f>IFERROR(MIN(4,INT((RANK.AVG(D124,$D$9:$D$207,1)-1)*5/COUNT($D$9:$D$207)))+H124,NA())</f>
        <v/>
      </c>
    </row>
    <row r="125">
      <c r="A125" s="6" t="inlineStr">
        <is>
          <t>A008930</t>
        </is>
      </c>
      <c r="B125" s="6" t="n">
        <v>300</v>
      </c>
      <c r="C125" s="6" t="n">
        <v>37700</v>
      </c>
      <c r="D125" s="8">
        <f>IFERROR(B125/C125,NA())</f>
        <v/>
      </c>
      <c r="E125" s="6" t="n">
        <v>133.33</v>
      </c>
      <c r="F125" s="6" t="n">
        <v>203.24</v>
      </c>
      <c r="G125" s="6" t="n">
        <v>135.43</v>
      </c>
      <c r="H125" s="8">
        <f>IF(AND(E125&lt;F125,F125&lt;G125),1,0)</f>
        <v/>
      </c>
      <c r="I125" s="8">
        <f>IFERROR(MIN(4,INT((RANK.AVG(D125,$D$9:$D$207,1)-1)*5/COUNT($D$9:$D$207)))+H125,NA())</f>
        <v/>
      </c>
    </row>
    <row r="126">
      <c r="A126" s="6" t="inlineStr">
        <is>
          <t>A111770</t>
        </is>
      </c>
      <c r="B126" s="6" t="n">
        <v>2100</v>
      </c>
      <c r="C126" s="6" t="n">
        <v>82900</v>
      </c>
      <c r="D126" s="8">
        <f>IFERROR(B126/C126,NA())</f>
        <v/>
      </c>
      <c r="E126" s="6" t="n">
        <v>671.15</v>
      </c>
      <c r="F126" s="6" t="n">
        <v>570.26</v>
      </c>
      <c r="G126" s="6" t="n">
        <v>896.42</v>
      </c>
      <c r="H126" s="8">
        <f>IF(AND(E126&lt;F126,F126&lt;G126),1,0)</f>
        <v/>
      </c>
      <c r="I126" s="8">
        <f>IFERROR(MIN(4,INT((RANK.AVG(D126,$D$9:$D$207,1)-1)*5/COUNT($D$9:$D$207)))+H126,NA())</f>
        <v/>
      </c>
    </row>
    <row r="127">
      <c r="A127" s="6" t="inlineStr">
        <is>
          <t>A026960</t>
        </is>
      </c>
      <c r="B127" s="6" t="n">
        <v>1140</v>
      </c>
      <c r="C127" s="6" t="n">
        <v>26700</v>
      </c>
      <c r="D127" s="8">
        <f>IFERROR(B127/C127,NA())</f>
        <v/>
      </c>
      <c r="E127" s="6" t="n">
        <v>720.3099999999999</v>
      </c>
      <c r="F127" s="6" t="n">
        <v>769.65</v>
      </c>
      <c r="G127" s="6" t="n">
        <v>1124.87</v>
      </c>
      <c r="H127" s="8">
        <f>IF(AND(E127&lt;F127,F127&lt;G127),1,0)</f>
        <v/>
      </c>
      <c r="I127" s="8">
        <f>IFERROR(MIN(4,INT((RANK.AVG(D127,$D$9:$D$207,1)-1)*5/COUNT($D$9:$D$207)))+H127,NA())</f>
        <v/>
      </c>
    </row>
    <row r="128">
      <c r="A128" s="6" t="inlineStr">
        <is>
          <t>A012750</t>
        </is>
      </c>
      <c r="B128" s="6" t="n">
        <v>3200</v>
      </c>
      <c r="C128" s="6" t="n">
        <v>86100</v>
      </c>
      <c r="D128" s="8">
        <f>IFERROR(B128/C128,NA())</f>
        <v/>
      </c>
      <c r="E128" s="6" t="n">
        <v>845.26</v>
      </c>
      <c r="F128" s="6" t="n">
        <v>912.88</v>
      </c>
      <c r="G128" s="6" t="n">
        <v>912.88</v>
      </c>
      <c r="H128" s="8">
        <f>IF(AND(E128&lt;F128,F128&lt;G128),1,0)</f>
        <v/>
      </c>
      <c r="I128" s="8">
        <f>IFERROR(MIN(4,INT((RANK.AVG(D128,$D$9:$D$207,1)-1)*5/COUNT($D$9:$D$207)))+H128,NA())</f>
        <v/>
      </c>
    </row>
    <row r="129">
      <c r="A129" s="6" t="inlineStr">
        <is>
          <t>A004370</t>
        </is>
      </c>
      <c r="B129" s="6" t="n">
        <v>6000</v>
      </c>
      <c r="C129" s="6" t="n">
        <v>377500</v>
      </c>
      <c r="D129" s="8">
        <f>IFERROR(B129/C129,NA())</f>
        <v/>
      </c>
      <c r="E129" s="6" t="n">
        <v>289.13</v>
      </c>
      <c r="F129" s="6" t="n">
        <v>289.13</v>
      </c>
      <c r="G129" s="6" t="n">
        <v>289.13</v>
      </c>
      <c r="H129" s="8">
        <f>IF(AND(E129&lt;F129,F129&lt;G129),1,0)</f>
        <v/>
      </c>
      <c r="I129" s="8">
        <f>IFERROR(MIN(4,INT((RANK.AVG(D129,$D$9:$D$207,1)-1)*5/COUNT($D$9:$D$207)))+H129,NA())</f>
        <v/>
      </c>
    </row>
    <row r="130">
      <c r="A130" s="6" t="inlineStr">
        <is>
          <t>A103140</t>
        </is>
      </c>
      <c r="B130" s="6" t="n">
        <v>1700</v>
      </c>
      <c r="C130" s="6" t="n">
        <v>99200</v>
      </c>
      <c r="D130" s="8">
        <f>IFERROR(B130/C130,NA())</f>
        <v/>
      </c>
      <c r="E130" s="6" t="n">
        <v>273.14</v>
      </c>
      <c r="F130" s="6" t="n">
        <v>327.77</v>
      </c>
      <c r="G130" s="6" t="n">
        <v>710.17</v>
      </c>
      <c r="H130" s="8">
        <f>IF(AND(E130&lt;F130,F130&lt;G130),1,0)</f>
        <v/>
      </c>
      <c r="I130" s="8">
        <f>IFERROR(MIN(4,INT((RANK.AVG(D130,$D$9:$D$207,1)-1)*5/COUNT($D$9:$D$207)))+H130,NA())</f>
        <v/>
      </c>
    </row>
    <row r="131">
      <c r="A131" s="6" t="inlineStr">
        <is>
          <t>A082740</t>
        </is>
      </c>
      <c r="B131" s="6" t="n">
        <v>0</v>
      </c>
      <c r="C131" s="6" t="n">
        <v>88000</v>
      </c>
      <c r="D131" s="8">
        <f>IFERROR(B131/C131,NA())</f>
        <v/>
      </c>
      <c r="E131" s="6" t="n">
        <v>0</v>
      </c>
      <c r="F131" s="6" t="n">
        <v>0</v>
      </c>
      <c r="G131" s="6" t="n">
        <v>0</v>
      </c>
      <c r="H131" s="8">
        <f>IF(AND(E131&lt;F131,F131&lt;G131),1,0)</f>
        <v/>
      </c>
      <c r="I131" s="8">
        <f>IFERROR(MIN(4,INT((RANK.AVG(D131,$D$9:$D$207,1)-1)*5/COUNT($D$9:$D$207)))+H131,NA())</f>
        <v/>
      </c>
    </row>
    <row r="132">
      <c r="A132" s="6" t="inlineStr">
        <is>
          <t>A139480</t>
        </is>
      </c>
      <c r="B132" s="6" t="n">
        <v>2500</v>
      </c>
      <c r="C132" s="6" t="n">
        <v>106700</v>
      </c>
      <c r="D132" s="8">
        <f>IFERROR(B132/C132,NA())</f>
        <v/>
      </c>
      <c r="E132" s="6" t="n">
        <v>535.77</v>
      </c>
      <c r="F132" s="6" t="n">
        <v>535.77</v>
      </c>
      <c r="G132" s="6" t="n">
        <v>535.77</v>
      </c>
      <c r="H132" s="8">
        <f>IF(AND(E132&lt;F132,F132&lt;G132),1,0)</f>
        <v/>
      </c>
      <c r="I132" s="8">
        <f>IFERROR(MIN(4,INT((RANK.AVG(D132,$D$9:$D$207,1)-1)*5/COUNT($D$9:$D$207)))+H132,NA())</f>
        <v/>
      </c>
    </row>
    <row r="133">
      <c r="A133" s="6" t="inlineStr">
        <is>
          <t>A002790</t>
        </is>
      </c>
      <c r="B133" s="6" t="n">
        <v>400</v>
      </c>
      <c r="C133" s="6" t="n">
        <v>27850</v>
      </c>
      <c r="D133" s="8">
        <f>IFERROR(B133/C133,NA())</f>
        <v/>
      </c>
      <c r="E133" s="6" t="n">
        <v>217.03</v>
      </c>
      <c r="F133" s="6" t="n">
        <v>250.1</v>
      </c>
      <c r="G133" s="6" t="n">
        <v>320.38</v>
      </c>
      <c r="H133" s="8">
        <f>IF(AND(E133&lt;F133,F133&lt;G133),1,0)</f>
        <v/>
      </c>
      <c r="I133" s="8">
        <f>IFERROR(MIN(4,INT((RANK.AVG(D133,$D$9:$D$207,1)-1)*5/COUNT($D$9:$D$207)))+H133,NA())</f>
        <v/>
      </c>
    </row>
    <row r="134">
      <c r="A134" s="6" t="inlineStr">
        <is>
          <t>A001450</t>
        </is>
      </c>
      <c r="B134" s="6" t="n">
        <v>0</v>
      </c>
      <c r="C134" s="6" t="n">
        <v>30400</v>
      </c>
      <c r="D134" s="8">
        <f>IFERROR(B134/C134,NA())</f>
        <v/>
      </c>
      <c r="E134" s="6" t="n">
        <v>1540.84</v>
      </c>
      <c r="F134" s="6" t="n">
        <v>1617.69</v>
      </c>
      <c r="G134" s="6" t="n">
        <v>0</v>
      </c>
      <c r="H134" s="8">
        <f>IF(AND(E134&lt;F134,F134&lt;G134),1,0)</f>
        <v/>
      </c>
      <c r="I134" s="8">
        <f>IFERROR(MIN(4,INT((RANK.AVG(D134,$D$9:$D$207,1)-1)*5/COUNT($D$9:$D$207)))+H134,NA())</f>
        <v/>
      </c>
    </row>
    <row r="135">
      <c r="A135" s="6" t="inlineStr">
        <is>
          <t>A030000</t>
        </is>
      </c>
      <c r="B135" s="6" t="n">
        <v>1230</v>
      </c>
      <c r="C135" s="6" t="n">
        <v>20050</v>
      </c>
      <c r="D135" s="8">
        <f>IFERROR(B135/C135,NA())</f>
        <v/>
      </c>
      <c r="E135" s="6" t="n">
        <v>1164.71</v>
      </c>
      <c r="F135" s="6" t="n">
        <v>1124.19</v>
      </c>
      <c r="G135" s="6" t="n">
        <v>1245.73</v>
      </c>
      <c r="H135" s="8">
        <f>IF(AND(E135&lt;F135,F135&lt;G135),1,0)</f>
        <v/>
      </c>
      <c r="I135" s="8">
        <f>IFERROR(MIN(4,INT((RANK.AVG(D135,$D$9:$D$207,1)-1)*5/COUNT($D$9:$D$207)))+H135,NA())</f>
        <v/>
      </c>
    </row>
    <row r="136">
      <c r="A136" s="6" t="inlineStr">
        <is>
          <t>A023530</t>
        </is>
      </c>
      <c r="B136" s="6" t="n">
        <v>4000</v>
      </c>
      <c r="C136" s="6" t="n">
        <v>135300</v>
      </c>
      <c r="D136" s="8">
        <f>IFERROR(B136/C136,NA())</f>
        <v/>
      </c>
      <c r="E136" s="6" t="n">
        <v>932.9299999999999</v>
      </c>
      <c r="F136" s="6" t="n">
        <v>1074.28</v>
      </c>
      <c r="G136" s="6" t="n">
        <v>1413.53</v>
      </c>
      <c r="H136" s="8">
        <f>IF(AND(E136&lt;F136,F136&lt;G136),1,0)</f>
        <v/>
      </c>
      <c r="I136" s="8">
        <f>IFERROR(MIN(4,INT((RANK.AVG(D136,$D$9:$D$207,1)-1)*5/COUNT($D$9:$D$207)))+H136,NA())</f>
        <v/>
      </c>
    </row>
    <row r="137">
      <c r="A137" s="6" t="inlineStr">
        <is>
          <t>A161890</t>
        </is>
      </c>
      <c r="B137" s="6" t="n">
        <v>864</v>
      </c>
      <c r="C137" s="6" t="n">
        <v>88700</v>
      </c>
      <c r="D137" s="8">
        <f>IFERROR(B137/C137,NA())</f>
        <v/>
      </c>
      <c r="E137" s="6" t="n">
        <v>114.41</v>
      </c>
      <c r="F137" s="6" t="n">
        <v>137.29</v>
      </c>
      <c r="G137" s="6" t="n">
        <v>169.96</v>
      </c>
      <c r="H137" s="8">
        <f>IF(AND(E137&lt;F137,F137&lt;G137),1,0)</f>
        <v/>
      </c>
      <c r="I137" s="8">
        <f>IFERROR(MIN(4,INT((RANK.AVG(D137,$D$9:$D$207,1)-1)*5/COUNT($D$9:$D$207)))+H137,NA())</f>
        <v/>
      </c>
    </row>
    <row r="138">
      <c r="A138" s="6" t="inlineStr">
        <is>
          <t>A112610</t>
        </is>
      </c>
      <c r="B138" s="6" t="n">
        <v>1000</v>
      </c>
      <c r="C138" s="6" t="n">
        <v>71600</v>
      </c>
      <c r="D138" s="8">
        <f>IFERROR(B138/C138,NA())</f>
        <v/>
      </c>
      <c r="E138" s="6" t="n">
        <v>207.15</v>
      </c>
      <c r="F138" s="6" t="n">
        <v>207.15</v>
      </c>
      <c r="G138" s="6" t="n">
        <v>414.39</v>
      </c>
      <c r="H138" s="8">
        <f>IF(AND(E138&lt;F138,F138&lt;G138),1,0)</f>
        <v/>
      </c>
      <c r="I138" s="8">
        <f>IFERROR(MIN(4,INT((RANK.AVG(D138,$D$9:$D$207,1)-1)*5/COUNT($D$9:$D$207)))+H138,NA())</f>
        <v/>
      </c>
    </row>
    <row r="139">
      <c r="A139" s="6" t="inlineStr">
        <is>
          <t>A081660</t>
        </is>
      </c>
      <c r="B139" s="6" t="n">
        <v>1980</v>
      </c>
      <c r="C139" s="6" t="n">
        <v>40600</v>
      </c>
      <c r="D139" s="8">
        <f>IFERROR(B139/C139,NA())</f>
        <v/>
      </c>
      <c r="E139" s="6" t="n">
        <v>655.04</v>
      </c>
      <c r="F139" s="6" t="n">
        <v>653.09</v>
      </c>
      <c r="G139" s="6" t="n">
        <v>995.83</v>
      </c>
      <c r="H139" s="8">
        <f>IF(AND(E139&lt;F139,F139&lt;G139),1,0)</f>
        <v/>
      </c>
      <c r="I139" s="8">
        <f>IFERROR(MIN(4,INT((RANK.AVG(D139,$D$9:$D$207,1)-1)*5/COUNT($D$9:$D$207)))+H139,NA())</f>
        <v/>
      </c>
    </row>
    <row r="140">
      <c r="A140" s="6" t="inlineStr">
        <is>
          <t>A018880</t>
        </is>
      </c>
      <c r="B140" s="6" t="n">
        <v>0</v>
      </c>
      <c r="C140" s="6" t="n">
        <v>4230</v>
      </c>
      <c r="D140" s="8">
        <f>IFERROR(B140/C140,NA())</f>
        <v/>
      </c>
      <c r="E140" s="6" t="n">
        <v>1803.8</v>
      </c>
      <c r="F140" s="6" t="n">
        <v>362.89</v>
      </c>
      <c r="G140" s="6" t="n">
        <v>0</v>
      </c>
      <c r="H140" s="8">
        <f>IF(AND(E140&lt;F140,F140&lt;G140),1,0)</f>
        <v/>
      </c>
      <c r="I140" s="8">
        <f>IFERROR(MIN(4,INT((RANK.AVG(D140,$D$9:$D$207,1)-1)*5/COUNT($D$9:$D$207)))+H140,NA())</f>
        <v/>
      </c>
    </row>
    <row r="141">
      <c r="A141" s="6" t="inlineStr">
        <is>
          <t>A062040</t>
        </is>
      </c>
      <c r="B141" s="6" t="n">
        <v>1250</v>
      </c>
      <c r="C141" s="6" t="n">
        <v>266000</v>
      </c>
      <c r="D141" s="8">
        <f>IFERROR(B141/C141,NA())</f>
        <v/>
      </c>
      <c r="E141" s="6" t="n">
        <v>4.27</v>
      </c>
      <c r="F141" s="6" t="n">
        <v>45.36</v>
      </c>
      <c r="G141" s="6" t="n">
        <v>127.61</v>
      </c>
      <c r="H141" s="8">
        <f>IF(AND(E141&lt;F141,F141&lt;G141),1,0)</f>
        <v/>
      </c>
      <c r="I141" s="8">
        <f>IFERROR(MIN(4,INT((RANK.AVG(D141,$D$9:$D$207,1)-1)*5/COUNT($D$9:$D$207)))+H141,NA())</f>
        <v/>
      </c>
    </row>
    <row r="142">
      <c r="A142" s="6" t="inlineStr">
        <is>
          <t>A006360</t>
        </is>
      </c>
      <c r="B142" s="6" t="n">
        <v>500</v>
      </c>
      <c r="C142" s="6" t="n">
        <v>38050</v>
      </c>
      <c r="D142" s="8">
        <f>IFERROR(B142/C142,NA())</f>
        <v/>
      </c>
      <c r="E142" s="6" t="n">
        <v>1103.56</v>
      </c>
      <c r="F142" s="6" t="n">
        <v>0</v>
      </c>
      <c r="G142" s="6" t="n">
        <v>254.67</v>
      </c>
      <c r="H142" s="8">
        <f>IF(AND(E142&lt;F142,F142&lt;G142),1,0)</f>
        <v/>
      </c>
      <c r="I142" s="8">
        <f>IFERROR(MIN(4,INT((RANK.AVG(D142,$D$9:$D$207,1)-1)*5/COUNT($D$9:$D$207)))+H142,NA())</f>
        <v/>
      </c>
    </row>
    <row r="143">
      <c r="A143" s="6" t="inlineStr">
        <is>
          <t>A008770</t>
        </is>
      </c>
      <c r="B143" s="6" t="n">
        <v>0</v>
      </c>
      <c r="C143" s="6" t="n">
        <v>65500</v>
      </c>
      <c r="D143" s="8">
        <f>IFERROR(B143/C143,NA())</f>
        <v/>
      </c>
      <c r="E143" s="6" t="n">
        <v>76.08</v>
      </c>
      <c r="F143" s="6" t="n">
        <v>76.08</v>
      </c>
      <c r="G143" s="6" t="n">
        <v>0</v>
      </c>
      <c r="H143" s="8">
        <f>IF(AND(E143&lt;F143,F143&lt;G143),1,0)</f>
        <v/>
      </c>
      <c r="I143" s="8">
        <f>IFERROR(MIN(4,INT((RANK.AVG(D143,$D$9:$D$207,1)-1)*5/COUNT($D$9:$D$207)))+H143,NA())</f>
        <v/>
      </c>
    </row>
    <row r="144">
      <c r="A144" s="6" t="inlineStr">
        <is>
          <t>A282330</t>
        </is>
      </c>
      <c r="B144" s="6" t="n">
        <v>4100</v>
      </c>
      <c r="C144" s="6" t="n">
        <v>132000</v>
      </c>
      <c r="D144" s="8">
        <f>IFERROR(B144/C144,NA())</f>
        <v/>
      </c>
      <c r="E144" s="6" t="n">
        <v>708.28</v>
      </c>
      <c r="F144" s="6" t="n">
        <v>708.28</v>
      </c>
      <c r="G144" s="6" t="n">
        <v>708.28</v>
      </c>
      <c r="H144" s="8">
        <f>IF(AND(E144&lt;F144,F144&lt;G144),1,0)</f>
        <v/>
      </c>
      <c r="I144" s="8">
        <f>IFERROR(MIN(4,INT((RANK.AVG(D144,$D$9:$D$207,1)-1)*5/COUNT($D$9:$D$207)))+H144,NA())</f>
        <v/>
      </c>
    </row>
    <row r="145">
      <c r="A145" s="6" t="inlineStr">
        <is>
          <t>A028670</t>
        </is>
      </c>
      <c r="B145" s="6" t="n">
        <v>150</v>
      </c>
      <c r="C145" s="6" t="n">
        <v>5540</v>
      </c>
      <c r="D145" s="8">
        <f>IFERROR(B145/C145,NA())</f>
        <v/>
      </c>
      <c r="E145" s="6" t="n">
        <v>801.85</v>
      </c>
      <c r="F145" s="6" t="n">
        <v>454.38</v>
      </c>
      <c r="G145" s="6" t="n">
        <v>641.48</v>
      </c>
      <c r="H145" s="8">
        <f>IF(AND(E145&lt;F145,F145&lt;G145),1,0)</f>
        <v/>
      </c>
      <c r="I145" s="8">
        <f>IFERROR(MIN(4,INT((RANK.AVG(D145,$D$9:$D$207,1)-1)*5/COUNT($D$9:$D$207)))+H145,NA())</f>
        <v/>
      </c>
    </row>
    <row r="146">
      <c r="A146" s="6" t="inlineStr">
        <is>
          <t>A000120</t>
        </is>
      </c>
      <c r="B146" s="6" t="n">
        <v>800</v>
      </c>
      <c r="C146" s="6" t="n">
        <v>101100</v>
      </c>
      <c r="D146" s="8">
        <f>IFERROR(B146/C146,NA())</f>
        <v/>
      </c>
      <c r="E146" s="6" t="n">
        <v>99.73</v>
      </c>
      <c r="F146" s="6" t="n">
        <v>99.73</v>
      </c>
      <c r="G146" s="6" t="n">
        <v>159.57</v>
      </c>
      <c r="H146" s="8">
        <f>IF(AND(E146&lt;F146,F146&lt;G146),1,0)</f>
        <v/>
      </c>
      <c r="I146" s="8">
        <f>IFERROR(MIN(4,INT((RANK.AVG(D146,$D$9:$D$207,1)-1)*5/COUNT($D$9:$D$207)))+H146,NA())</f>
        <v/>
      </c>
    </row>
    <row r="147">
      <c r="A147" s="6" t="inlineStr">
        <is>
          <t>A051600</t>
        </is>
      </c>
      <c r="B147" s="6" t="n">
        <v>1651</v>
      </c>
      <c r="C147" s="6" t="n">
        <v>62200</v>
      </c>
      <c r="D147" s="8">
        <f>IFERROR(B147/C147,NA())</f>
        <v/>
      </c>
      <c r="E147" s="6" t="n">
        <v>587.25</v>
      </c>
      <c r="F147" s="6" t="n">
        <v>971.1</v>
      </c>
      <c r="G147" s="6" t="n">
        <v>1111.05</v>
      </c>
      <c r="H147" s="8">
        <f>IF(AND(E147&lt;F147,F147&lt;G147),1,0)</f>
        <v/>
      </c>
      <c r="I147" s="8">
        <f>IFERROR(MIN(4,INT((RANK.AVG(D147,$D$9:$D$207,1)-1)*5/COUNT($D$9:$D$207)))+H147,NA())</f>
        <v/>
      </c>
    </row>
    <row r="148">
      <c r="A148" s="6" t="inlineStr">
        <is>
          <t>A375500</t>
        </is>
      </c>
      <c r="B148" s="6" t="n">
        <v>890</v>
      </c>
      <c r="C148" s="6" t="n">
        <v>99000</v>
      </c>
      <c r="D148" s="8">
        <f>IFERROR(B148/C148,NA())</f>
        <v/>
      </c>
      <c r="E148" s="6" t="n">
        <v>422.82</v>
      </c>
      <c r="F148" s="6" t="n">
        <v>201.82</v>
      </c>
      <c r="G148" s="6" t="n">
        <v>230.28</v>
      </c>
      <c r="H148" s="8">
        <f>IF(AND(E148&lt;F148,F148&lt;G148),1,0)</f>
        <v/>
      </c>
      <c r="I148" s="8">
        <f>IFERROR(MIN(4,INT((RANK.AVG(D148,$D$9:$D$207,1)-1)*5/COUNT($D$9:$D$207)))+H148,NA())</f>
        <v/>
      </c>
    </row>
    <row r="149">
      <c r="A149" s="6" t="inlineStr">
        <is>
          <t>A006040</t>
        </is>
      </c>
      <c r="B149" s="6" t="n">
        <v>1150</v>
      </c>
      <c r="C149" s="6" t="n">
        <v>38550</v>
      </c>
      <c r="D149" s="8">
        <f>IFERROR(B149/C149,NA())</f>
        <v/>
      </c>
      <c r="E149" s="6" t="n">
        <v>397.81</v>
      </c>
      <c r="F149" s="6" t="n">
        <v>396.24</v>
      </c>
      <c r="G149" s="6" t="n">
        <v>678.62</v>
      </c>
      <c r="H149" s="8">
        <f>IF(AND(E149&lt;F149,F149&lt;G149),1,0)</f>
        <v/>
      </c>
      <c r="I149" s="8">
        <f>IFERROR(MIN(4,INT((RANK.AVG(D149,$D$9:$D$207,1)-1)*5/COUNT($D$9:$D$207)))+H149,NA())</f>
        <v/>
      </c>
    </row>
    <row r="150">
      <c r="A150" s="6" t="inlineStr">
        <is>
          <t>A139130</t>
        </is>
      </c>
      <c r="B150" s="6" t="n">
        <v>700</v>
      </c>
      <c r="C150" s="6" t="n">
        <v>19100</v>
      </c>
      <c r="D150" s="8">
        <f>IFERROR(B150/C150,NA())</f>
        <v/>
      </c>
      <c r="E150" s="6" t="n">
        <v>1099.45</v>
      </c>
      <c r="F150" s="6" t="n">
        <v>915.16</v>
      </c>
      <c r="G150" s="6" t="n">
        <v>831.96</v>
      </c>
      <c r="H150" s="8">
        <f>IF(AND(E150&lt;F150,F150&lt;G150),1,0)</f>
        <v/>
      </c>
      <c r="I150" s="8">
        <f>IFERROR(MIN(4,INT((RANK.AVG(D150,$D$9:$D$207,1)-1)*5/COUNT($D$9:$D$207)))+H150,NA())</f>
        <v/>
      </c>
    </row>
    <row r="151">
      <c r="A151" s="6" t="inlineStr">
        <is>
          <t>A069620</t>
        </is>
      </c>
      <c r="B151" s="6" t="n">
        <v>600</v>
      </c>
      <c r="C151" s="6" t="n">
        <v>148300</v>
      </c>
      <c r="D151" s="8">
        <f>IFERROR(B151/C151,NA())</f>
        <v/>
      </c>
      <c r="E151" s="6" t="n">
        <v>66.42</v>
      </c>
      <c r="F151" s="6" t="n">
        <v>69.04000000000001</v>
      </c>
      <c r="G151" s="6" t="n">
        <v>69.04000000000001</v>
      </c>
      <c r="H151" s="8">
        <f>IF(AND(E151&lt;F151,F151&lt;G151),1,0)</f>
        <v/>
      </c>
      <c r="I151" s="8">
        <f>IFERROR(MIN(4,INT((RANK.AVG(D151,$D$9:$D$207,1)-1)*5/COUNT($D$9:$D$207)))+H151,NA())</f>
        <v/>
      </c>
    </row>
    <row r="152">
      <c r="A152" s="6" t="inlineStr">
        <is>
          <t>A047040</t>
        </is>
      </c>
      <c r="B152" s="6" t="n">
        <v>0</v>
      </c>
      <c r="C152" s="6" t="n">
        <v>35000</v>
      </c>
      <c r="D152" s="8">
        <f>IFERROR(B152/C152,NA())</f>
        <v/>
      </c>
      <c r="E152" s="6" t="n">
        <v>0</v>
      </c>
      <c r="F152" s="6" t="n">
        <v>0</v>
      </c>
      <c r="G152" s="6" t="n">
        <v>0</v>
      </c>
      <c r="H152" s="8">
        <f>IF(AND(E152&lt;F152,F152&lt;G152),1,0)</f>
        <v/>
      </c>
      <c r="I152" s="8">
        <f>IFERROR(MIN(4,INT((RANK.AVG(D152,$D$9:$D$207,1)-1)*5/COUNT($D$9:$D$207)))+H152,NA())</f>
        <v/>
      </c>
    </row>
    <row r="153">
      <c r="A153" s="6" t="inlineStr">
        <is>
          <t>A066970</t>
        </is>
      </c>
      <c r="B153" s="6" t="n">
        <v>0</v>
      </c>
      <c r="C153" s="6" t="n">
        <v>195100</v>
      </c>
      <c r="D153" s="8">
        <f>IFERROR(B153/C153,NA())</f>
        <v/>
      </c>
      <c r="E153" s="6" t="n">
        <v>166.4</v>
      </c>
      <c r="F153" s="6" t="n">
        <v>0</v>
      </c>
      <c r="G153" s="6" t="n">
        <v>0</v>
      </c>
      <c r="H153" s="8">
        <f>IF(AND(E153&lt;F153,F153&lt;G153),1,0)</f>
        <v/>
      </c>
      <c r="I153" s="8">
        <f>IFERROR(MIN(4,INT((RANK.AVG(D153,$D$9:$D$207,1)-1)*5/COUNT($D$9:$D$207)))+H153,NA())</f>
        <v/>
      </c>
    </row>
    <row r="154">
      <c r="A154" s="6" t="inlineStr">
        <is>
          <t>A014680</t>
        </is>
      </c>
      <c r="B154" s="6" t="n">
        <v>2600</v>
      </c>
      <c r="C154" s="6" t="n">
        <v>285000</v>
      </c>
      <c r="D154" s="8">
        <f>IFERROR(B154/C154,NA())</f>
        <v/>
      </c>
      <c r="E154" s="6" t="n">
        <v>228.44</v>
      </c>
      <c r="F154" s="6" t="n">
        <v>228.44</v>
      </c>
      <c r="G154" s="6" t="n">
        <v>232.37</v>
      </c>
      <c r="H154" s="8">
        <f>IF(AND(E154&lt;F154,F154&lt;G154),1,0)</f>
        <v/>
      </c>
      <c r="I154" s="8">
        <f>IFERROR(MIN(4,INT((RANK.AVG(D154,$D$9:$D$207,1)-1)*5/COUNT($D$9:$D$207)))+H154,NA())</f>
        <v/>
      </c>
    </row>
    <row r="155">
      <c r="A155" s="6" t="inlineStr">
        <is>
          <t>A000240</t>
        </is>
      </c>
      <c r="B155" s="6" t="n">
        <v>1100</v>
      </c>
      <c r="C155" s="6" t="n">
        <v>24950</v>
      </c>
      <c r="D155" s="8">
        <f>IFERROR(B155/C155,NA())</f>
        <v/>
      </c>
      <c r="E155" s="6" t="n">
        <v>617.0700000000001</v>
      </c>
      <c r="F155" s="6" t="n">
        <v>861.9400000000001</v>
      </c>
      <c r="G155" s="6" t="n">
        <v>1032.43</v>
      </c>
      <c r="H155" s="8">
        <f>IF(AND(E155&lt;F155,F155&lt;G155),1,0)</f>
        <v/>
      </c>
      <c r="I155" s="8">
        <f>IFERROR(MIN(4,INT((RANK.AVG(D155,$D$9:$D$207,1)-1)*5/COUNT($D$9:$D$207)))+H155,NA())</f>
        <v/>
      </c>
    </row>
    <row r="156">
      <c r="A156" s="6" t="inlineStr">
        <is>
          <t>A009970</t>
        </is>
      </c>
      <c r="B156" s="6" t="n">
        <v>6576</v>
      </c>
      <c r="C156" s="6" t="n">
        <v>208000</v>
      </c>
      <c r="D156" s="8">
        <f>IFERROR(B156/C156,NA())</f>
        <v/>
      </c>
      <c r="E156" s="6" t="n">
        <v>539.63</v>
      </c>
      <c r="F156" s="6" t="n">
        <v>553.55</v>
      </c>
      <c r="G156" s="6" t="n">
        <v>620.86</v>
      </c>
      <c r="H156" s="8">
        <f>IF(AND(E156&lt;F156,F156&lt;G156),1,0)</f>
        <v/>
      </c>
      <c r="I156" s="8">
        <f>IFERROR(MIN(4,INT((RANK.AVG(D156,$D$9:$D$207,1)-1)*5/COUNT($D$9:$D$207)))+H156,NA())</f>
        <v/>
      </c>
    </row>
    <row r="157">
      <c r="A157" s="6" t="inlineStr">
        <is>
          <t>A004170</t>
        </is>
      </c>
      <c r="B157" s="6" t="n">
        <v>6500</v>
      </c>
      <c r="C157" s="6" t="n">
        <v>407000</v>
      </c>
      <c r="D157" s="8">
        <f>IFERROR(B157/C157,NA())</f>
        <v/>
      </c>
      <c r="E157" s="6" t="n">
        <v>368.87</v>
      </c>
      <c r="F157" s="6" t="n">
        <v>377.46</v>
      </c>
      <c r="G157" s="6" t="n">
        <v>394.55</v>
      </c>
      <c r="H157" s="8">
        <f>IF(AND(E157&lt;F157,F157&lt;G157),1,0)</f>
        <v/>
      </c>
      <c r="I157" s="8">
        <f>IFERROR(MIN(4,INT((RANK.AVG(D157,$D$9:$D$207,1)-1)*5/COUNT($D$9:$D$207)))+H157,NA())</f>
        <v/>
      </c>
    </row>
    <row r="158">
      <c r="A158" s="6" t="inlineStr">
        <is>
          <t>A361610</t>
        </is>
      </c>
      <c r="B158" s="6" t="n">
        <v>0</v>
      </c>
      <c r="C158" s="6" t="n">
        <v>26400</v>
      </c>
      <c r="D158" s="8">
        <f>IFERROR(B158/C158,NA())</f>
        <v/>
      </c>
      <c r="E158" s="6" t="n">
        <v>0</v>
      </c>
      <c r="F158" s="6" t="n">
        <v>0</v>
      </c>
      <c r="G158" s="6" t="n">
        <v>0</v>
      </c>
      <c r="H158" s="8">
        <f>IF(AND(E158&lt;F158,F158&lt;G158),1,0)</f>
        <v/>
      </c>
      <c r="I158" s="8">
        <f>IFERROR(MIN(4,INT((RANK.AVG(D158,$D$9:$D$207,1)-1)*5/COUNT($D$9:$D$207)))+H158,NA())</f>
        <v/>
      </c>
    </row>
    <row r="159">
      <c r="A159" s="6" t="inlineStr">
        <is>
          <t>A069960</t>
        </is>
      </c>
      <c r="B159" s="6" t="n">
        <v>2150</v>
      </c>
      <c r="C159" s="6" t="n">
        <v>108900</v>
      </c>
      <c r="D159" s="8">
        <f>IFERROR(B159/C159,NA())</f>
        <v/>
      </c>
      <c r="E159" s="6" t="n">
        <v>284.12</v>
      </c>
      <c r="F159" s="6" t="n">
        <v>284.12</v>
      </c>
      <c r="G159" s="6" t="n">
        <v>413.8</v>
      </c>
      <c r="H159" s="8">
        <f>IF(AND(E159&lt;F159,F159&lt;G159),1,0)</f>
        <v/>
      </c>
      <c r="I159" s="8">
        <f>IFERROR(MIN(4,INT((RANK.AVG(D159,$D$9:$D$207,1)-1)*5/COUNT($D$9:$D$207)))+H159,NA())</f>
        <v/>
      </c>
    </row>
    <row r="160">
      <c r="A160" s="6" t="inlineStr">
        <is>
          <t>A204320</t>
        </is>
      </c>
      <c r="B160" s="6" t="n">
        <v>750</v>
      </c>
      <c r="C160" s="6" t="n">
        <v>57100</v>
      </c>
      <c r="D160" s="8">
        <f>IFERROR(B160/C160,NA())</f>
        <v/>
      </c>
      <c r="E160" s="6" t="n">
        <v>234.52</v>
      </c>
      <c r="F160" s="6" t="n">
        <v>281.74</v>
      </c>
      <c r="G160" s="6" t="n">
        <v>328.7</v>
      </c>
      <c r="H160" s="8">
        <f>IF(AND(E160&lt;F160,F160&lt;G160),1,0)</f>
        <v/>
      </c>
      <c r="I160" s="8">
        <f>IFERROR(MIN(4,INT((RANK.AVG(D160,$D$9:$D$207,1)-1)*5/COUNT($D$9:$D$207)))+H160,NA())</f>
        <v/>
      </c>
    </row>
    <row r="161">
      <c r="A161" s="6" t="inlineStr">
        <is>
          <t>A007310</t>
        </is>
      </c>
      <c r="B161" s="6" t="n">
        <v>9000</v>
      </c>
      <c r="C161" s="6" t="n">
        <v>365500</v>
      </c>
      <c r="D161" s="8">
        <f>IFERROR(B161/C161,NA())</f>
        <v/>
      </c>
      <c r="E161" s="6" t="n">
        <v>309.54</v>
      </c>
      <c r="F161" s="6" t="n">
        <v>309.54</v>
      </c>
      <c r="G161" s="6" t="n">
        <v>309.54</v>
      </c>
      <c r="H161" s="8">
        <f>IF(AND(E161&lt;F161,F161&lt;G161),1,0)</f>
        <v/>
      </c>
      <c r="I161" s="8">
        <f>IFERROR(MIN(4,INT((RANK.AVG(D161,$D$9:$D$207,1)-1)*5/COUNT($D$9:$D$207)))+H161,NA())</f>
        <v/>
      </c>
    </row>
    <row r="162">
      <c r="A162" s="6" t="inlineStr">
        <is>
          <t>A006280</t>
        </is>
      </c>
      <c r="B162" s="6" t="n">
        <v>1500</v>
      </c>
      <c r="C162" s="6" t="n">
        <v>137100</v>
      </c>
      <c r="D162" s="8">
        <f>IFERROR(B162/C162,NA())</f>
        <v/>
      </c>
      <c r="E162" s="6" t="n">
        <v>199.73</v>
      </c>
      <c r="F162" s="6" t="n">
        <v>171.2</v>
      </c>
      <c r="G162" s="6" t="n">
        <v>171.2</v>
      </c>
      <c r="H162" s="8">
        <f>IF(AND(E162&lt;F162,F162&lt;G162),1,0)</f>
        <v/>
      </c>
      <c r="I162" s="8">
        <f>IFERROR(MIN(4,INT((RANK.AVG(D162,$D$9:$D$207,1)-1)*5/COUNT($D$9:$D$207)))+H162,NA())</f>
        <v/>
      </c>
    </row>
    <row r="163">
      <c r="A163" s="6" t="inlineStr">
        <is>
          <t>A003090</t>
        </is>
      </c>
      <c r="B163" s="6" t="n">
        <v>200</v>
      </c>
      <c r="C163" s="6" t="n">
        <v>22550</v>
      </c>
      <c r="D163" s="8">
        <f>IFERROR(B163/C163,NA())</f>
        <v/>
      </c>
      <c r="E163" s="6" t="n">
        <v>41.58</v>
      </c>
      <c r="F163" s="6" t="n">
        <v>40.89</v>
      </c>
      <c r="G163" s="6" t="n">
        <v>81.78</v>
      </c>
      <c r="H163" s="8">
        <f>IF(AND(E163&lt;F163,F163&lt;G163),1,0)</f>
        <v/>
      </c>
      <c r="I163" s="8">
        <f>IFERROR(MIN(4,INT((RANK.AVG(D163,$D$9:$D$207,1)-1)*5/COUNT($D$9:$D$207)))+H163,NA())</f>
        <v/>
      </c>
    </row>
    <row r="164">
      <c r="A164" s="6" t="inlineStr">
        <is>
          <t>A010060</t>
        </is>
      </c>
      <c r="B164" s="6" t="n">
        <v>1000</v>
      </c>
      <c r="C164" s="6" t="n">
        <v>368000</v>
      </c>
      <c r="D164" s="8">
        <f>IFERROR(B164/C164,NA())</f>
        <v/>
      </c>
      <c r="E164" s="6" t="n">
        <v>588.73</v>
      </c>
      <c r="F164" s="6" t="n">
        <v>645.61</v>
      </c>
      <c r="G164" s="6" t="n">
        <v>412.98</v>
      </c>
      <c r="H164" s="8">
        <f>IF(AND(E164&lt;F164,F164&lt;G164),1,0)</f>
        <v/>
      </c>
      <c r="I164" s="8">
        <f>IFERROR(MIN(4,INT((RANK.AVG(D164,$D$9:$D$207,1)-1)*5/COUNT($D$9:$D$207)))+H164,NA())</f>
        <v/>
      </c>
    </row>
    <row r="165">
      <c r="A165" s="6" t="inlineStr">
        <is>
          <t>A005850</t>
        </is>
      </c>
      <c r="B165" s="6" t="n">
        <v>2770</v>
      </c>
      <c r="C165" s="6" t="n">
        <v>62900</v>
      </c>
      <c r="D165" s="8">
        <f>IFERROR(B165/C165,NA())</f>
        <v/>
      </c>
      <c r="E165" s="6" t="n">
        <v>276.33</v>
      </c>
      <c r="F165" s="6" t="n">
        <v>414.5</v>
      </c>
      <c r="G165" s="6" t="n">
        <v>552.67</v>
      </c>
      <c r="H165" s="8">
        <f>IF(AND(E165&lt;F165,F165&lt;G165),1,0)</f>
        <v/>
      </c>
      <c r="I165" s="8">
        <f>IFERROR(MIN(4,INT((RANK.AVG(D165,$D$9:$D$207,1)-1)*5/COUNT($D$9:$D$207)))+H165,NA())</f>
        <v/>
      </c>
    </row>
    <row r="166">
      <c r="A166" s="6" t="inlineStr">
        <is>
          <t>A071970</t>
        </is>
      </c>
      <c r="B166" s="6" t="n">
        <v>0</v>
      </c>
      <c r="C166" s="6" t="n">
        <v>105800</v>
      </c>
      <c r="D166" s="8">
        <f>IFERROR(B166/C166,NA())</f>
        <v/>
      </c>
      <c r="E166" s="6" t="n">
        <v>0</v>
      </c>
      <c r="F166" s="6" t="n">
        <v>0</v>
      </c>
      <c r="G166" s="6" t="n">
        <v>0</v>
      </c>
      <c r="H166" s="8">
        <f>IF(AND(E166&lt;F166,F166&lt;G166),1,0)</f>
        <v/>
      </c>
      <c r="I166" s="8">
        <f>IFERROR(MIN(4,INT((RANK.AVG(D166,$D$9:$D$207,1)-1)*5/COUNT($D$9:$D$207)))+H166,NA())</f>
        <v/>
      </c>
    </row>
    <row r="167">
      <c r="A167" s="6" t="inlineStr">
        <is>
          <t>A000080</t>
        </is>
      </c>
      <c r="B167" s="6" t="n">
        <v>700</v>
      </c>
      <c r="C167" s="6" t="n">
        <v>17110</v>
      </c>
      <c r="D167" s="8">
        <f>IFERROR(B167/C167,NA())</f>
        <v/>
      </c>
      <c r="E167" s="6" t="n">
        <v>663.5</v>
      </c>
      <c r="F167" s="6" t="n">
        <v>663.5</v>
      </c>
      <c r="G167" s="6" t="n">
        <v>489.05</v>
      </c>
      <c r="H167" s="8">
        <f>IF(AND(E167&lt;F167,F167&lt;G167),1,0)</f>
        <v/>
      </c>
      <c r="I167" s="8">
        <f>IFERROR(MIN(4,INT((RANK.AVG(D167,$D$9:$D$207,1)-1)*5/COUNT($D$9:$D$207)))+H167,NA())</f>
        <v/>
      </c>
    </row>
    <row r="168">
      <c r="A168" s="6" t="inlineStr">
        <is>
          <t>A007070</t>
        </is>
      </c>
      <c r="B168" s="6" t="n">
        <v>600</v>
      </c>
      <c r="C168" s="6" t="n">
        <v>23500</v>
      </c>
      <c r="D168" s="8">
        <f>IFERROR(B168/C168,NA())</f>
        <v/>
      </c>
      <c r="E168" s="6" t="n">
        <v>439.37</v>
      </c>
      <c r="F168" s="6" t="n">
        <v>517.1900000000001</v>
      </c>
      <c r="G168" s="6" t="n">
        <v>417.83</v>
      </c>
      <c r="H168" s="8">
        <f>IF(AND(E168&lt;F168,F168&lt;G168),1,0)</f>
        <v/>
      </c>
      <c r="I168" s="8">
        <f>IFERROR(MIN(4,INT((RANK.AVG(D168,$D$9:$D$207,1)-1)*5/COUNT($D$9:$D$207)))+H168,NA())</f>
        <v/>
      </c>
    </row>
    <row r="169">
      <c r="A169" s="6" t="inlineStr">
        <is>
          <t>A137310</t>
        </is>
      </c>
      <c r="B169" s="6" t="n">
        <v>200</v>
      </c>
      <c r="C169" s="6" t="n">
        <v>8420</v>
      </c>
      <c r="D169" s="8">
        <f>IFERROR(B169/C169,NA())</f>
        <v/>
      </c>
      <c r="E169" s="6" t="n">
        <v>296.54</v>
      </c>
      <c r="F169" s="6" t="n">
        <v>0</v>
      </c>
      <c r="G169" s="6" t="n">
        <v>241.23</v>
      </c>
      <c r="H169" s="8">
        <f>IF(AND(E169&lt;F169,F169&lt;G169),1,0)</f>
        <v/>
      </c>
      <c r="I169" s="8">
        <f>IFERROR(MIN(4,INT((RANK.AVG(D169,$D$9:$D$207,1)-1)*5/COUNT($D$9:$D$207)))+H169,NA())</f>
        <v/>
      </c>
    </row>
    <row r="170">
      <c r="A170" s="6" t="inlineStr">
        <is>
          <t>A009420</t>
        </is>
      </c>
      <c r="B170" s="6" t="n">
        <v>0</v>
      </c>
      <c r="C170" s="6" t="n">
        <v>47400</v>
      </c>
      <c r="D170" s="8">
        <f>IFERROR(B170/C170,NA())</f>
        <v/>
      </c>
      <c r="E170" s="6" t="n">
        <v>0</v>
      </c>
      <c r="F170" s="6" t="n">
        <v>0</v>
      </c>
      <c r="G170" s="6" t="n">
        <v>0</v>
      </c>
      <c r="H170" s="8">
        <f>IF(AND(E170&lt;F170,F170&lt;G170),1,0)</f>
        <v/>
      </c>
      <c r="I170" s="8">
        <f>IFERROR(MIN(4,INT((RANK.AVG(D170,$D$9:$D$207,1)-1)*5/COUNT($D$9:$D$207)))+H170,NA())</f>
        <v/>
      </c>
    </row>
    <row r="171">
      <c r="A171" s="6" t="inlineStr">
        <is>
          <t>A001800</t>
        </is>
      </c>
      <c r="B171" s="6" t="n">
        <v>1100</v>
      </c>
      <c r="C171" s="6" t="n">
        <v>25850</v>
      </c>
      <c r="D171" s="8">
        <f>IFERROR(B171/C171,NA())</f>
        <v/>
      </c>
      <c r="E171" s="6" t="n">
        <v>421.1</v>
      </c>
      <c r="F171" s="6" t="n">
        <v>451.17</v>
      </c>
      <c r="G171" s="6" t="n">
        <v>481.25</v>
      </c>
      <c r="H171" s="8">
        <f>IF(AND(E171&lt;F171,F171&lt;G171),1,0)</f>
        <v/>
      </c>
      <c r="I171" s="8">
        <f>IFERROR(MIN(4,INT((RANK.AVG(D171,$D$9:$D$207,1)-1)*5/COUNT($D$9:$D$207)))+H171,NA())</f>
        <v/>
      </c>
    </row>
    <row r="172">
      <c r="A172" s="6" t="inlineStr">
        <is>
          <t>A007340</t>
        </is>
      </c>
      <c r="B172" s="6" t="n">
        <v>1000</v>
      </c>
      <c r="C172" s="6" t="n">
        <v>48050</v>
      </c>
      <c r="D172" s="8">
        <f>IFERROR(B172/C172,NA())</f>
        <v/>
      </c>
      <c r="E172" s="6" t="n">
        <v>215.45</v>
      </c>
      <c r="F172" s="6" t="n">
        <v>425.19</v>
      </c>
      <c r="G172" s="6" t="n">
        <v>569.38</v>
      </c>
      <c r="H172" s="8">
        <f>IF(AND(E172&lt;F172,F172&lt;G172),1,0)</f>
        <v/>
      </c>
      <c r="I172" s="8">
        <f>IFERROR(MIN(4,INT((RANK.AVG(D172,$D$9:$D$207,1)-1)*5/COUNT($D$9:$D$207)))+H172,NA())</f>
        <v/>
      </c>
    </row>
    <row r="173">
      <c r="A173" s="6" t="inlineStr">
        <is>
          <t>A300720</t>
        </is>
      </c>
      <c r="B173" s="6" t="n">
        <v>1000</v>
      </c>
      <c r="C173" s="6" t="n">
        <v>17450</v>
      </c>
      <c r="D173" s="8">
        <f>IFERROR(B173/C173,NA())</f>
        <v/>
      </c>
      <c r="E173" s="6" t="n">
        <v>401.72</v>
      </c>
      <c r="F173" s="6" t="n">
        <v>554.09</v>
      </c>
      <c r="G173" s="6" t="n">
        <v>692.62</v>
      </c>
      <c r="H173" s="8">
        <f>IF(AND(E173&lt;F173,F173&lt;G173),1,0)</f>
        <v/>
      </c>
      <c r="I173" s="8">
        <f>IFERROR(MIN(4,INT((RANK.AVG(D173,$D$9:$D$207,1)-1)*5/COUNT($D$9:$D$207)))+H173,NA())</f>
        <v/>
      </c>
    </row>
    <row r="174">
      <c r="A174" s="6" t="inlineStr">
        <is>
          <t>A073240</t>
        </is>
      </c>
      <c r="B174" s="6" t="n">
        <v>0</v>
      </c>
      <c r="C174" s="6" t="n">
        <v>5820</v>
      </c>
      <c r="D174" s="8">
        <f>IFERROR(B174/C174,NA())</f>
        <v/>
      </c>
      <c r="E174" s="6" t="n">
        <v>0</v>
      </c>
      <c r="F174" s="6" t="n">
        <v>0</v>
      </c>
      <c r="G174" s="6" t="n">
        <v>0</v>
      </c>
      <c r="H174" s="8">
        <f>IF(AND(E174&lt;F174,F174&lt;G174),1,0)</f>
        <v/>
      </c>
      <c r="I174" s="8">
        <f>IFERROR(MIN(4,INT((RANK.AVG(D174,$D$9:$D$207,1)-1)*5/COUNT($D$9:$D$207)))+H174,NA())</f>
        <v/>
      </c>
    </row>
    <row r="175">
      <c r="A175" s="6" t="inlineStr">
        <is>
          <t>A034230</t>
        </is>
      </c>
      <c r="B175" s="6" t="n">
        <v>150</v>
      </c>
      <c r="C175" s="6" t="n">
        <v>15850</v>
      </c>
      <c r="D175" s="8">
        <f>IFERROR(B175/C175,NA())</f>
        <v/>
      </c>
      <c r="E175" s="6" t="n">
        <v>0</v>
      </c>
      <c r="F175" s="6" t="n">
        <v>86.34999999999999</v>
      </c>
      <c r="G175" s="6" t="n">
        <v>129.54</v>
      </c>
      <c r="H175" s="8">
        <f>IF(AND(E175&lt;F175,F175&lt;G175),1,0)</f>
        <v/>
      </c>
      <c r="I175" s="8">
        <f>IFERROR(MIN(4,INT((RANK.AVG(D175,$D$9:$D$207,1)-1)*5/COUNT($D$9:$D$207)))+H175,NA())</f>
        <v/>
      </c>
    </row>
    <row r="176">
      <c r="A176" s="6" t="inlineStr">
        <is>
          <t>A457190</t>
        </is>
      </c>
      <c r="B176" s="6" t="n">
        <v>0</v>
      </c>
      <c r="C176" s="6" t="n">
        <v>121500</v>
      </c>
      <c r="D176" s="8">
        <f>IFERROR(B176/C176,NA())</f>
        <v/>
      </c>
      <c r="E176" s="6" t="n">
        <v>0</v>
      </c>
      <c r="F176" s="6" t="n">
        <v>0</v>
      </c>
      <c r="G176" s="6" t="n">
        <v>0</v>
      </c>
      <c r="H176" s="8">
        <f>IF(AND(E176&lt;F176,F176&lt;G176),1,0)</f>
        <v/>
      </c>
      <c r="I176" s="8">
        <f>IFERROR(MIN(4,INT((RANK.AVG(D176,$D$9:$D$207,1)-1)*5/COUNT($D$9:$D$207)))+H176,NA())</f>
        <v/>
      </c>
    </row>
    <row r="177">
      <c r="A177" s="6" t="inlineStr">
        <is>
          <t>A011210</t>
        </is>
      </c>
      <c r="B177" s="6" t="n">
        <v>1200</v>
      </c>
      <c r="C177" s="6" t="n">
        <v>82700</v>
      </c>
      <c r="D177" s="8">
        <f>IFERROR(B177/C177,NA())</f>
        <v/>
      </c>
      <c r="E177" s="6" t="n">
        <v>186.52</v>
      </c>
      <c r="F177" s="6" t="n">
        <v>226.49</v>
      </c>
      <c r="G177" s="6" t="n">
        <v>293.1</v>
      </c>
      <c r="H177" s="8">
        <f>IF(AND(E177&lt;F177,F177&lt;G177),1,0)</f>
        <v/>
      </c>
      <c r="I177" s="8">
        <f>IFERROR(MIN(4,INT((RANK.AVG(D177,$D$9:$D$207,1)-1)*5/COUNT($D$9:$D$207)))+H177,NA())</f>
        <v/>
      </c>
    </row>
    <row r="178">
      <c r="A178" s="6" t="inlineStr">
        <is>
          <t>A185750</t>
        </is>
      </c>
      <c r="B178" s="6" t="n">
        <v>500</v>
      </c>
      <c r="C178" s="6" t="n">
        <v>85700</v>
      </c>
      <c r="D178" s="8">
        <f>IFERROR(B178/C178,NA())</f>
        <v/>
      </c>
      <c r="E178" s="6" t="n">
        <v>116.09</v>
      </c>
      <c r="F178" s="6" t="n">
        <v>133.31</v>
      </c>
      <c r="G178" s="6" t="n">
        <v>138.24</v>
      </c>
      <c r="H178" s="8">
        <f>IF(AND(E178&lt;F178,F178&lt;G178),1,0)</f>
        <v/>
      </c>
      <c r="I178" s="8">
        <f>IFERROR(MIN(4,INT((RANK.AVG(D178,$D$9:$D$207,1)-1)*5/COUNT($D$9:$D$207)))+H178,NA())</f>
        <v/>
      </c>
    </row>
    <row r="179">
      <c r="A179" s="6" t="inlineStr">
        <is>
          <t>A003240</t>
        </is>
      </c>
      <c r="B179" s="6" t="n">
        <v>1750</v>
      </c>
      <c r="C179" s="6" t="n">
        <v>1190000</v>
      </c>
      <c r="D179" s="8">
        <f>IFERROR(B179/C179,NA())</f>
        <v/>
      </c>
      <c r="E179" s="6" t="n">
        <v>14.73</v>
      </c>
      <c r="F179" s="6" t="n">
        <v>14.73</v>
      </c>
      <c r="G179" s="6" t="n">
        <v>14.73</v>
      </c>
      <c r="H179" s="8">
        <f>IF(AND(E179&lt;F179,F179&lt;G179),1,0)</f>
        <v/>
      </c>
      <c r="I179" s="8">
        <f>IFERROR(MIN(4,INT((RANK.AVG(D179,$D$9:$D$207,1)-1)*5/COUNT($D$9:$D$207)))+H179,NA())</f>
        <v/>
      </c>
    </row>
    <row r="180">
      <c r="A180" s="6" t="inlineStr">
        <is>
          <t>A280360</t>
        </is>
      </c>
      <c r="B180" s="6" t="n">
        <v>3300</v>
      </c>
      <c r="C180" s="6" t="n">
        <v>121100</v>
      </c>
      <c r="D180" s="8">
        <f>IFERROR(B180/C180,NA())</f>
        <v/>
      </c>
      <c r="E180" s="6" t="n">
        <v>203.35</v>
      </c>
      <c r="F180" s="6" t="n">
        <v>265.24</v>
      </c>
      <c r="G180" s="6" t="n">
        <v>291.76</v>
      </c>
      <c r="H180" s="8">
        <f>IF(AND(E180&lt;F180,F180&lt;G180),1,0)</f>
        <v/>
      </c>
      <c r="I180" s="8">
        <f>IFERROR(MIN(4,INT((RANK.AVG(D180,$D$9:$D$207,1)-1)*5/COUNT($D$9:$D$207)))+H180,NA())</f>
        <v/>
      </c>
    </row>
    <row r="181">
      <c r="A181" s="6" t="inlineStr">
        <is>
          <t>A298020</t>
        </is>
      </c>
      <c r="B181" s="6" t="n">
        <v>10100</v>
      </c>
      <c r="C181" s="6" t="n">
        <v>518000</v>
      </c>
      <c r="D181" s="8">
        <f>IFERROR(B181/C181,NA())</f>
        <v/>
      </c>
      <c r="E181" s="6" t="n">
        <v>431.57</v>
      </c>
      <c r="F181" s="6" t="n">
        <v>431.57</v>
      </c>
      <c r="G181" s="6" t="n">
        <v>431.57</v>
      </c>
      <c r="H181" s="8">
        <f>IF(AND(E181&lt;F181,F181&lt;G181),1,0)</f>
        <v/>
      </c>
      <c r="I181" s="8">
        <f>IFERROR(MIN(4,INT((RANK.AVG(D181,$D$9:$D$207,1)-1)*5/COUNT($D$9:$D$207)))+H181,NA())</f>
        <v/>
      </c>
    </row>
    <row r="182">
      <c r="A182" s="6" t="inlineStr">
        <is>
          <t>A005300</t>
        </is>
      </c>
      <c r="B182" s="6" t="n">
        <v>3400</v>
      </c>
      <c r="C182" s="6" t="n">
        <v>122400</v>
      </c>
      <c r="D182" s="8">
        <f>IFERROR(B182/C182,NA())</f>
        <v/>
      </c>
      <c r="E182" s="6" t="n">
        <v>331.83</v>
      </c>
      <c r="F182" s="6" t="n">
        <v>341.88</v>
      </c>
      <c r="G182" s="6" t="n">
        <v>341.88</v>
      </c>
      <c r="H182" s="8">
        <f>IF(AND(E182&lt;F182,F182&lt;G182),1,0)</f>
        <v/>
      </c>
      <c r="I182" s="8">
        <f>IFERROR(MIN(4,INT((RANK.AVG(D182,$D$9:$D$207,1)-1)*5/COUNT($D$9:$D$207)))+H182,NA())</f>
        <v/>
      </c>
    </row>
    <row r="183">
      <c r="A183" s="6" t="inlineStr">
        <is>
          <t>A017960</t>
        </is>
      </c>
      <c r="B183" s="6" t="n">
        <v>320</v>
      </c>
      <c r="C183" s="6" t="n">
        <v>49550</v>
      </c>
      <c r="D183" s="8">
        <f>IFERROR(B183/C183,NA())</f>
        <v/>
      </c>
      <c r="E183" s="6" t="n">
        <v>55.93</v>
      </c>
      <c r="F183" s="6" t="n">
        <v>54.14</v>
      </c>
      <c r="G183" s="6" t="n">
        <v>63.98</v>
      </c>
      <c r="H183" s="8">
        <f>IF(AND(E183&lt;F183,F183&lt;G183),1,0)</f>
        <v/>
      </c>
      <c r="I183" s="8">
        <f>IFERROR(MIN(4,INT((RANK.AVG(D183,$D$9:$D$207,1)-1)*5/COUNT($D$9:$D$207)))+H183,NA())</f>
        <v/>
      </c>
    </row>
    <row r="184">
      <c r="A184" s="6" t="inlineStr">
        <is>
          <t>A192080</t>
        </is>
      </c>
      <c r="B184" s="6" t="n">
        <v>1200</v>
      </c>
      <c r="C184" s="6" t="n">
        <v>61100</v>
      </c>
      <c r="D184" s="8">
        <f>IFERROR(B184/C184,NA())</f>
        <v/>
      </c>
      <c r="E184" s="6" t="n">
        <v>99.76000000000001</v>
      </c>
      <c r="F184" s="6" t="n">
        <v>165.26</v>
      </c>
      <c r="G184" s="6" t="n">
        <v>237.91</v>
      </c>
      <c r="H184" s="8">
        <f>IF(AND(E184&lt;F184,F184&lt;G184),1,0)</f>
        <v/>
      </c>
      <c r="I184" s="8">
        <f>IFERROR(MIN(4,INT((RANK.AVG(D184,$D$9:$D$207,1)-1)*5/COUNT($D$9:$D$207)))+H184,NA())</f>
        <v/>
      </c>
    </row>
    <row r="185">
      <c r="A185" s="6" t="inlineStr">
        <is>
          <t>A009240</t>
        </is>
      </c>
      <c r="B185" s="6" t="n">
        <v>0</v>
      </c>
      <c r="C185" s="6" t="n">
        <v>45200</v>
      </c>
      <c r="D185" s="8">
        <f>IFERROR(B185/C185,NA())</f>
        <v/>
      </c>
      <c r="E185" s="6" t="n">
        <v>747.01</v>
      </c>
      <c r="F185" s="6" t="n">
        <v>1416.01</v>
      </c>
      <c r="G185" s="6" t="n">
        <v>0</v>
      </c>
      <c r="H185" s="8">
        <f>IF(AND(E185&lt;F185,F185&lt;G185),1,0)</f>
        <v/>
      </c>
      <c r="I185" s="8">
        <f>IFERROR(MIN(4,INT((RANK.AVG(D185,$D$9:$D$207,1)-1)*5/COUNT($D$9:$D$207)))+H185,NA())</f>
        <v/>
      </c>
    </row>
    <row r="186">
      <c r="A186" s="6" t="inlineStr">
        <is>
          <t>A285130</t>
        </is>
      </c>
      <c r="B186" s="6" t="n">
        <v>1150</v>
      </c>
      <c r="C186" s="6" t="n">
        <v>59400</v>
      </c>
      <c r="D186" s="8">
        <f>IFERROR(B186/C186,NA())</f>
        <v/>
      </c>
      <c r="E186" s="6" t="n">
        <v>288.84</v>
      </c>
      <c r="F186" s="6" t="n">
        <v>125.72</v>
      </c>
      <c r="G186" s="6" t="n">
        <v>222.25</v>
      </c>
      <c r="H186" s="8">
        <f>IF(AND(E186&lt;F186,F186&lt;G186),1,0)</f>
        <v/>
      </c>
      <c r="I186" s="8">
        <f>IFERROR(MIN(4,INT((RANK.AVG(D186,$D$9:$D$207,1)-1)*5/COUNT($D$9:$D$207)))+H186,NA())</f>
        <v/>
      </c>
    </row>
    <row r="187">
      <c r="A187" s="6" t="inlineStr">
        <is>
          <t>A004000</t>
        </is>
      </c>
      <c r="B187" s="6" t="n">
        <v>1500</v>
      </c>
      <c r="C187" s="6" t="n">
        <v>69400</v>
      </c>
      <c r="D187" s="8">
        <f>IFERROR(B187/C187,NA())</f>
        <v/>
      </c>
      <c r="E187" s="6" t="n">
        <v>891.45</v>
      </c>
      <c r="F187" s="6" t="n">
        <v>509.4</v>
      </c>
      <c r="G187" s="6" t="n">
        <v>356.58</v>
      </c>
      <c r="H187" s="8">
        <f>IF(AND(E187&lt;F187,F187&lt;G187),1,0)</f>
        <v/>
      </c>
      <c r="I187" s="8">
        <f>IFERROR(MIN(4,INT((RANK.AVG(D187,$D$9:$D$207,1)-1)*5/COUNT($D$9:$D$207)))+H187,NA())</f>
        <v/>
      </c>
    </row>
    <row r="188">
      <c r="A188" s="6" t="inlineStr">
        <is>
          <t>A004490</t>
        </is>
      </c>
      <c r="B188" s="6" t="n">
        <v>2650</v>
      </c>
      <c r="C188" s="6" t="n">
        <v>66000</v>
      </c>
      <c r="D188" s="8">
        <f>IFERROR(B188/C188,NA())</f>
        <v/>
      </c>
      <c r="E188" s="6" t="n">
        <v>79.67</v>
      </c>
      <c r="F188" s="6" t="n">
        <v>91.98</v>
      </c>
      <c r="G188" s="6" t="n">
        <v>144.88</v>
      </c>
      <c r="H188" s="8">
        <f>IF(AND(E188&lt;F188,F188&lt;G188),1,0)</f>
        <v/>
      </c>
      <c r="I188" s="8">
        <f>IFERROR(MIN(4,INT((RANK.AVG(D188,$D$9:$D$207,1)-1)*5/COUNT($D$9:$D$207)))+H188,NA())</f>
        <v/>
      </c>
    </row>
    <row r="189">
      <c r="A189" s="6" t="inlineStr">
        <is>
          <t>A003030</t>
        </is>
      </c>
      <c r="B189" s="6" t="n">
        <v>1800</v>
      </c>
      <c r="C189" s="6" t="n">
        <v>240000</v>
      </c>
      <c r="D189" s="8">
        <f>IFERROR(B189/C189,NA())</f>
        <v/>
      </c>
      <c r="E189" s="6" t="n">
        <v>90.91</v>
      </c>
      <c r="F189" s="6" t="n">
        <v>80.81</v>
      </c>
      <c r="G189" s="6" t="n">
        <v>72.73</v>
      </c>
      <c r="H189" s="8">
        <f>IF(AND(E189&lt;F189,F189&lt;G189),1,0)</f>
        <v/>
      </c>
      <c r="I189" s="8">
        <f>IFERROR(MIN(4,INT((RANK.AVG(D189,$D$9:$D$207,1)-1)*5/COUNT($D$9:$D$207)))+H189,NA())</f>
        <v/>
      </c>
    </row>
    <row r="190">
      <c r="A190" s="6" t="inlineStr">
        <is>
          <t>A000210</t>
        </is>
      </c>
      <c r="B190" s="6" t="n">
        <v>0</v>
      </c>
      <c r="C190" s="6" t="n">
        <v>71500</v>
      </c>
      <c r="D190" s="8">
        <f>IFERROR(B190/C190,NA())</f>
        <v/>
      </c>
      <c r="E190" s="6" t="n">
        <v>226.99</v>
      </c>
      <c r="F190" s="6" t="n">
        <v>226.99</v>
      </c>
      <c r="G190" s="6" t="n">
        <v>226.99</v>
      </c>
      <c r="H190" s="8">
        <f>IF(AND(E190&lt;F190,F190&lt;G190),1,0)</f>
        <v/>
      </c>
      <c r="I190" s="8">
        <f>IFERROR(MIN(4,INT((RANK.AVG(D190,$D$9:$D$207,1)-1)*5/COUNT($D$9:$D$207)))+H190,NA())</f>
        <v/>
      </c>
    </row>
    <row r="191">
      <c r="A191" s="6" t="inlineStr">
        <is>
          <t>A014820</t>
        </is>
      </c>
      <c r="B191" s="6" t="n">
        <v>600</v>
      </c>
      <c r="C191" s="6" t="n">
        <v>28100</v>
      </c>
      <c r="D191" s="8">
        <f>IFERROR(B191/C191,NA())</f>
        <v/>
      </c>
      <c r="E191" s="6" t="n">
        <v>175.66</v>
      </c>
      <c r="F191" s="6" t="n">
        <v>175.66</v>
      </c>
      <c r="G191" s="6" t="n">
        <v>263.56</v>
      </c>
      <c r="H191" s="8">
        <f>IF(AND(E191&lt;F191,F191&lt;G191),1,0)</f>
        <v/>
      </c>
      <c r="I191" s="8">
        <f>IFERROR(MIN(4,INT((RANK.AVG(D191,$D$9:$D$207,1)-1)*5/COUNT($D$9:$D$207)))+H191,NA())</f>
        <v/>
      </c>
    </row>
    <row r="192">
      <c r="A192" s="6" t="inlineStr">
        <is>
          <t>A120110</t>
        </is>
      </c>
      <c r="B192" s="6" t="n">
        <v>1300</v>
      </c>
      <c r="C192" s="6" t="n">
        <v>94100</v>
      </c>
      <c r="D192" s="8">
        <f>IFERROR(B192/C192,NA())</f>
        <v/>
      </c>
      <c r="E192" s="6" t="n">
        <v>395.02</v>
      </c>
      <c r="F192" s="6" t="n">
        <v>395.02</v>
      </c>
      <c r="G192" s="6" t="n">
        <v>576.7</v>
      </c>
      <c r="H192" s="8">
        <f>IF(AND(E192&lt;F192,F192&lt;G192),1,0)</f>
        <v/>
      </c>
      <c r="I192" s="8">
        <f>IFERROR(MIN(4,INT((RANK.AVG(D192,$D$9:$D$207,1)-1)*5/COUNT($D$9:$D$207)))+H192,NA())</f>
        <v/>
      </c>
    </row>
    <row r="193">
      <c r="A193" s="6" t="inlineStr">
        <is>
          <t>A114090</t>
        </is>
      </c>
      <c r="B193" s="6" t="n">
        <v>414</v>
      </c>
      <c r="C193" s="6" t="n">
        <v>12060</v>
      </c>
      <c r="D193" s="8">
        <f>IFERROR(B193/C193,NA())</f>
        <v/>
      </c>
      <c r="E193" s="6" t="n">
        <v>0</v>
      </c>
      <c r="F193" s="6" t="n">
        <v>255.46</v>
      </c>
      <c r="G193" s="6" t="n">
        <v>174.43</v>
      </c>
      <c r="H193" s="8">
        <f>IF(AND(E193&lt;F193,F193&lt;G193),1,0)</f>
        <v/>
      </c>
      <c r="I193" s="8">
        <f>IFERROR(MIN(4,INT((RANK.AVG(D193,$D$9:$D$207,1)-1)*5/COUNT($D$9:$D$207)))+H193,NA())</f>
        <v/>
      </c>
    </row>
    <row r="194">
      <c r="A194" s="6" t="inlineStr">
        <is>
          <t>A071320</t>
        </is>
      </c>
      <c r="B194" s="6" t="n">
        <v>6157</v>
      </c>
      <c r="C194" s="6" t="n">
        <v>76500</v>
      </c>
      <c r="D194" s="8">
        <f>IFERROR(B194/C194,NA())</f>
        <v/>
      </c>
      <c r="E194" s="6" t="n">
        <v>0</v>
      </c>
      <c r="F194" s="6" t="n">
        <v>0</v>
      </c>
      <c r="G194" s="6" t="n">
        <v>449.14</v>
      </c>
      <c r="H194" s="8">
        <f>IF(AND(E194&lt;F194,F194&lt;G194),1,0)</f>
        <v/>
      </c>
      <c r="I194" s="8">
        <f>IFERROR(MIN(4,INT((RANK.AVG(D194,$D$9:$D$207,1)-1)*5/COUNT($D$9:$D$207)))+H194,NA())</f>
        <v/>
      </c>
    </row>
    <row r="195">
      <c r="A195" s="6" t="inlineStr">
        <is>
          <t>A298050</t>
        </is>
      </c>
      <c r="B195" s="6" t="n">
        <v>2500</v>
      </c>
      <c r="C195" s="6" t="n">
        <v>269500</v>
      </c>
      <c r="D195" s="8">
        <f>IFERROR(B195/C195,NA())</f>
        <v/>
      </c>
      <c r="E195" s="6" t="n">
        <v>670.2</v>
      </c>
      <c r="F195" s="6" t="n">
        <v>290.42</v>
      </c>
      <c r="G195" s="6" t="n">
        <v>290.42</v>
      </c>
      <c r="H195" s="8">
        <f>IF(AND(E195&lt;F195,F195&lt;G195),1,0)</f>
        <v/>
      </c>
      <c r="I195" s="8">
        <f>IFERROR(MIN(4,INT((RANK.AVG(D195,$D$9:$D$207,1)-1)*5/COUNT($D$9:$D$207)))+H195,NA())</f>
        <v/>
      </c>
    </row>
    <row r="196">
      <c r="A196" s="6" t="inlineStr">
        <is>
          <t>A002840</t>
        </is>
      </c>
      <c r="B196" s="6" t="n">
        <v>2400</v>
      </c>
      <c r="C196" s="6" t="n">
        <v>151800</v>
      </c>
      <c r="D196" s="8">
        <f>IFERROR(B196/C196,NA())</f>
        <v/>
      </c>
      <c r="E196" s="6" t="n">
        <v>71.78</v>
      </c>
      <c r="F196" s="6" t="n">
        <v>94.08</v>
      </c>
      <c r="G196" s="6" t="n">
        <v>92.47</v>
      </c>
      <c r="H196" s="8">
        <f>IF(AND(E196&lt;F196,F196&lt;G196),1,0)</f>
        <v/>
      </c>
      <c r="I196" s="8">
        <f>IFERROR(MIN(4,INT((RANK.AVG(D196,$D$9:$D$207,1)-1)*5/COUNT($D$9:$D$207)))+H196,NA())</f>
        <v/>
      </c>
    </row>
    <row r="197">
      <c r="A197" s="6" t="inlineStr">
        <is>
          <t>A001430</t>
        </is>
      </c>
      <c r="B197" s="6" t="n">
        <v>1200</v>
      </c>
      <c r="C197" s="6" t="n">
        <v>75500</v>
      </c>
      <c r="D197" s="8">
        <f>IFERROR(B197/C197,NA())</f>
        <v/>
      </c>
      <c r="E197" s="6" t="n">
        <v>385.41</v>
      </c>
      <c r="F197" s="6" t="n">
        <v>385.41</v>
      </c>
      <c r="G197" s="6" t="n">
        <v>385.41</v>
      </c>
      <c r="H197" s="8">
        <f>IF(AND(E197&lt;F197,F197&lt;G197),1,0)</f>
        <v/>
      </c>
      <c r="I197" s="8">
        <f>IFERROR(MIN(4,INT((RANK.AVG(D197,$D$9:$D$207,1)-1)*5/COUNT($D$9:$D$207)))+H197,NA())</f>
        <v/>
      </c>
    </row>
    <row r="198">
      <c r="A198" s="6" t="inlineStr">
        <is>
          <t>A000670</t>
        </is>
      </c>
      <c r="B198" s="6" t="n">
        <v>5</v>
      </c>
      <c r="C198" s="6" t="n">
        <v>65900</v>
      </c>
      <c r="D198" s="8">
        <f>IFERROR(B198/C198,NA())</f>
        <v/>
      </c>
      <c r="E198" s="6" t="n">
        <v>172.01</v>
      </c>
      <c r="F198" s="6" t="n">
        <v>172.01</v>
      </c>
      <c r="G198" s="6" t="n">
        <v>0.86</v>
      </c>
      <c r="H198" s="8">
        <f>IF(AND(E198&lt;F198,F198&lt;G198),1,0)</f>
        <v/>
      </c>
      <c r="I198" s="8">
        <f>IFERROR(MIN(4,INT((RANK.AVG(D198,$D$9:$D$207,1)-1)*5/COUNT($D$9:$D$207)))+H198,NA())</f>
        <v/>
      </c>
    </row>
    <row r="199">
      <c r="A199" s="6" t="inlineStr">
        <is>
          <t>A005250</t>
        </is>
      </c>
      <c r="B199" s="6" t="n">
        <v>300</v>
      </c>
      <c r="C199" s="6" t="n">
        <v>13960</v>
      </c>
      <c r="D199" s="8">
        <f>IFERROR(B199/C199,NA())</f>
        <v/>
      </c>
      <c r="E199" s="6" t="n">
        <v>136.22</v>
      </c>
      <c r="F199" s="6" t="n">
        <v>136.22</v>
      </c>
      <c r="G199" s="6" t="n">
        <v>227.02</v>
      </c>
      <c r="H199" s="8">
        <f>IF(AND(E199&lt;F199,F199&lt;G199),1,0)</f>
        <v/>
      </c>
      <c r="I199" s="8">
        <f>IFERROR(MIN(4,INT((RANK.AVG(D199,$D$9:$D$207,1)-1)*5/COUNT($D$9:$D$207)))+H199,NA())</f>
        <v/>
      </c>
    </row>
    <row r="200">
      <c r="A200" s="6" t="inlineStr">
        <is>
          <t>A008730</t>
        </is>
      </c>
      <c r="B200" s="6" t="n">
        <v>250</v>
      </c>
      <c r="C200" s="6" t="n">
        <v>25750</v>
      </c>
      <c r="D200" s="8">
        <f>IFERROR(B200/C200,NA())</f>
        <v/>
      </c>
      <c r="E200" s="6" t="n">
        <v>62</v>
      </c>
      <c r="F200" s="6" t="n">
        <v>62</v>
      </c>
      <c r="G200" s="6" t="n">
        <v>62</v>
      </c>
      <c r="H200" s="8">
        <f>IF(AND(E200&lt;F200,F200&lt;G200),1,0)</f>
        <v/>
      </c>
      <c r="I200" s="8">
        <f>IFERROR(MIN(4,INT((RANK.AVG(D200,$D$9:$D$207,1)-1)*5/COUNT($D$9:$D$207)))+H200,NA())</f>
        <v/>
      </c>
    </row>
    <row r="201">
      <c r="A201" s="6" t="inlineStr">
        <is>
          <t>A268280</t>
        </is>
      </c>
      <c r="B201" s="6" t="n">
        <v>3200</v>
      </c>
      <c r="C201" s="6" t="n">
        <v>122500</v>
      </c>
      <c r="D201" s="8">
        <f>IFERROR(B201/C201,NA())</f>
        <v/>
      </c>
      <c r="E201" s="6" t="n">
        <v>104.85</v>
      </c>
      <c r="F201" s="6" t="n">
        <v>103.11</v>
      </c>
      <c r="G201" s="6" t="n">
        <v>136.06</v>
      </c>
      <c r="H201" s="8">
        <f>IF(AND(E201&lt;F201,F201&lt;G201),1,0)</f>
        <v/>
      </c>
      <c r="I201" s="8">
        <f>IFERROR(MIN(4,INT((RANK.AVG(D201,$D$9:$D$207,1)-1)*5/COUNT($D$9:$D$207)))+H201,NA())</f>
        <v/>
      </c>
    </row>
    <row r="202">
      <c r="A202" s="6" t="inlineStr">
        <is>
          <t>A001680</t>
        </is>
      </c>
      <c r="B202" s="6" t="n">
        <v>850</v>
      </c>
      <c r="C202" s="6" t="n">
        <v>20700</v>
      </c>
      <c r="D202" s="8">
        <f>IFERROR(B202/C202,NA())</f>
        <v/>
      </c>
      <c r="E202" s="6" t="n">
        <v>288.28</v>
      </c>
      <c r="F202" s="6" t="n">
        <v>288.28</v>
      </c>
      <c r="G202" s="6" t="n">
        <v>306.29</v>
      </c>
      <c r="H202" s="8">
        <f>IF(AND(E202&lt;F202,F202&lt;G202),1,0)</f>
        <v/>
      </c>
      <c r="I202" s="8">
        <f>IFERROR(MIN(4,INT((RANK.AVG(D202,$D$9:$D$207,1)-1)*5/COUNT($D$9:$D$207)))+H202,NA())</f>
        <v/>
      </c>
    </row>
    <row r="203">
      <c r="A203" s="6" t="inlineStr">
        <is>
          <t>A069260</t>
        </is>
      </c>
      <c r="B203" s="6" t="n">
        <v>1000</v>
      </c>
      <c r="C203" s="6" t="n">
        <v>18890</v>
      </c>
      <c r="D203" s="8">
        <f>IFERROR(B203/C203,NA())</f>
        <v/>
      </c>
      <c r="E203" s="6" t="n">
        <v>383.71</v>
      </c>
      <c r="F203" s="6" t="n">
        <v>383.71</v>
      </c>
      <c r="G203" s="6" t="n">
        <v>383.71</v>
      </c>
      <c r="H203" s="8">
        <f>IF(AND(E203&lt;F203,F203&lt;G203),1,0)</f>
        <v/>
      </c>
      <c r="I203" s="8">
        <f>IFERROR(MIN(4,INT((RANK.AVG(D203,$D$9:$D$207,1)-1)*5/COUNT($D$9:$D$207)))+H203,NA())</f>
        <v/>
      </c>
    </row>
    <row r="204">
      <c r="A204" s="6" t="inlineStr">
        <is>
          <t>A002030</t>
        </is>
      </c>
      <c r="B204" s="6" t="n">
        <v>5600</v>
      </c>
      <c r="C204" s="6" t="n">
        <v>271000</v>
      </c>
      <c r="D204" s="8">
        <f>IFERROR(B204/C204,NA())</f>
        <v/>
      </c>
      <c r="E204" s="6" t="n">
        <v>68.66</v>
      </c>
      <c r="F204" s="6" t="n">
        <v>86.29000000000001</v>
      </c>
      <c r="G204" s="6" t="n">
        <v>88.88</v>
      </c>
      <c r="H204" s="8">
        <f>IF(AND(E204&lt;F204,F204&lt;G204),1,0)</f>
        <v/>
      </c>
      <c r="I204" s="8">
        <f>IFERROR(MIN(4,INT((RANK.AVG(D204,$D$9:$D$207,1)-1)*5/COUNT($D$9:$D$207)))+H204,NA())</f>
        <v/>
      </c>
    </row>
    <row r="205">
      <c r="A205" s="6" t="inlineStr">
        <is>
          <t>A006650</t>
        </is>
      </c>
      <c r="B205" s="6" t="n">
        <v>1300</v>
      </c>
      <c r="C205" s="6" t="n">
        <v>181100</v>
      </c>
      <c r="D205" s="8">
        <f>IFERROR(B205/C205,NA())</f>
        <v/>
      </c>
      <c r="E205" s="6" t="n">
        <v>61.76</v>
      </c>
      <c r="F205" s="6" t="n">
        <v>61.76</v>
      </c>
      <c r="G205" s="6" t="n">
        <v>61.76</v>
      </c>
      <c r="H205" s="8">
        <f>IF(AND(E205&lt;F205,F205&lt;G205),1,0)</f>
        <v/>
      </c>
      <c r="I205" s="8">
        <f>IFERROR(MIN(4,INT((RANK.AVG(D205,$D$9:$D$207,1)-1)*5/COUNT($D$9:$D$207)))+H205,NA())</f>
        <v/>
      </c>
    </row>
    <row r="206">
      <c r="A206" s="6" t="inlineStr">
        <is>
          <t>A005420</t>
        </is>
      </c>
      <c r="B206" s="6" t="n">
        <v>0</v>
      </c>
      <c r="C206" s="6" t="n">
        <v>17750</v>
      </c>
      <c r="D206" s="8">
        <f>IFERROR(B206/C206,NA())</f>
        <v/>
      </c>
      <c r="E206" s="6" t="n">
        <v>0</v>
      </c>
      <c r="F206" s="6" t="n">
        <v>0</v>
      </c>
      <c r="G206" s="6" t="n">
        <v>0</v>
      </c>
      <c r="H206" s="8">
        <f>IF(AND(E206&lt;F206,F206&lt;G206),1,0)</f>
        <v/>
      </c>
      <c r="I206" s="8">
        <f>IFERROR(MIN(4,INT((RANK.AVG(D206,$D$9:$D$207,1)-1)*5/COUNT($D$9:$D$207)))+H206,NA())</f>
        <v/>
      </c>
    </row>
    <row r="207">
      <c r="A207" s="6" t="inlineStr">
        <is>
          <t>A093370</t>
        </is>
      </c>
      <c r="B207" s="6" t="n">
        <v>0</v>
      </c>
      <c r="C207" s="6" t="n">
        <v>13240</v>
      </c>
      <c r="D207" s="8">
        <f>IFERROR(B207/C207,NA())</f>
        <v/>
      </c>
      <c r="E207" s="6" t="n">
        <v>18.86</v>
      </c>
      <c r="F207" s="6" t="n">
        <v>0</v>
      </c>
      <c r="G207" s="6" t="n">
        <v>0</v>
      </c>
      <c r="H207" s="8">
        <f>IF(AND(E207&lt;F207,F207&lt;G207),1,0)</f>
        <v/>
      </c>
      <c r="I207" s="8">
        <f>IFERROR(MIN(4,INT((RANK.AVG(D207,$D$9:$D$207,1)-1)*5/COUNT($D$9:$D$207)))+H207,NA())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retail_flow 계산 과정</t>
        </is>
      </c>
    </row>
    <row r="2">
      <c r="A2" t="inlineStr">
        <is>
          <t>신호일</t>
        </is>
      </c>
      <c r="B2" s="2" t="n">
        <v>46142</v>
      </c>
      <c r="C2" t="inlineStr">
        <is>
          <t>공통 signal_date 수</t>
        </is>
      </c>
      <c r="D2" t="n">
        <v>301</v>
      </c>
    </row>
    <row r="3"/>
    <row r="4">
      <c r="A4" s="3" t="inlineStr">
        <is>
          <t>종목명</t>
        </is>
      </c>
      <c r="B4" s="3" t="inlineStr">
        <is>
          <t>티커</t>
        </is>
      </c>
      <c r="C4" s="3" t="inlineStr">
        <is>
          <t>섹터</t>
        </is>
      </c>
      <c r="D4" s="3" t="inlineStr">
        <is>
          <t>섹터평균 252일 개인수급</t>
        </is>
      </c>
      <c r="E4" s="3" t="inlineStr">
        <is>
          <t>score 수식</t>
        </is>
      </c>
      <c r="F4" s="3" t="inlineStr">
        <is>
          <t>score 코드</t>
        </is>
      </c>
    </row>
    <row r="5">
      <c r="A5" t="inlineStr">
        <is>
          <t>삼성전자</t>
        </is>
      </c>
      <c r="B5" t="inlineStr">
        <is>
          <t>A005930</t>
        </is>
      </c>
      <c r="C5" t="inlineStr">
        <is>
          <t>WI62010</t>
        </is>
      </c>
      <c r="D5" t="n">
        <v>3221849201383.333</v>
      </c>
      <c r="E5" s="4">
        <f>IFERROR($D$43,NA())</f>
        <v/>
      </c>
      <c r="F5" t="n">
        <v>0</v>
      </c>
    </row>
    <row r="6">
      <c r="A6" t="inlineStr">
        <is>
          <t>SK하이닉스</t>
        </is>
      </c>
      <c r="B6" t="inlineStr">
        <is>
          <t>A000660</t>
        </is>
      </c>
      <c r="C6" t="inlineStr">
        <is>
          <t>WI62010</t>
        </is>
      </c>
      <c r="D6" t="n">
        <v>3221849201383.333</v>
      </c>
      <c r="E6" s="4">
        <f>IFERROR($D$43,NA())</f>
        <v/>
      </c>
      <c r="F6" t="n">
        <v>0</v>
      </c>
    </row>
    <row r="7"/>
    <row r="8">
      <c r="A8" s="5" t="inlineStr">
        <is>
          <t>섹터</t>
        </is>
      </c>
      <c r="B8" s="5" t="inlineStr">
        <is>
          <t>섹터평균 252일 개인수급</t>
        </is>
      </c>
      <c r="C8" s="5" t="inlineStr">
        <is>
          <t>점수용 metric(-평균)</t>
        </is>
      </c>
      <c r="D8" s="5" t="inlineStr">
        <is>
          <t>섹터점수 수식</t>
        </is>
      </c>
    </row>
    <row r="9">
      <c r="A9" s="6" t="inlineStr">
        <is>
          <t>WI10010</t>
        </is>
      </c>
      <c r="B9" s="6" t="n">
        <v>-465935100097.3333</v>
      </c>
      <c r="C9" s="8">
        <f>-B9</f>
        <v/>
      </c>
      <c r="D9" s="8">
        <f>IFERROR(MIN(4,INT((RANK.AVG(C9,$C$9:$C$48,1)-1)*5/COUNT($C$9:$C$48))),NA())</f>
        <v/>
      </c>
    </row>
    <row r="10">
      <c r="A10" s="6" t="inlineStr">
        <is>
          <t>WI11010</t>
        </is>
      </c>
      <c r="B10" s="6" t="n">
        <v>-112106063877.45</v>
      </c>
      <c r="C10" s="8">
        <f>-B10</f>
        <v/>
      </c>
      <c r="D10" s="8">
        <f>IFERROR(MIN(4,INT((RANK.AVG(C10,$C$9:$C$48,1)-1)*5/COUNT($C$9:$C$48))),NA())</f>
        <v/>
      </c>
    </row>
    <row r="11">
      <c r="A11" s="6" t="inlineStr">
        <is>
          <t>WI20010</t>
        </is>
      </c>
      <c r="B11" s="6" t="n">
        <v>12688718362.5</v>
      </c>
      <c r="C11" s="8">
        <f>-B11</f>
        <v/>
      </c>
      <c r="D11" s="8">
        <f>IFERROR(MIN(4,INT((RANK.AVG(C11,$C$9:$C$48,1)-1)*5/COUNT($C$9:$C$48))),NA())</f>
        <v/>
      </c>
    </row>
    <row r="12">
      <c r="A12" s="6" t="inlineStr">
        <is>
          <t>WI20020</t>
        </is>
      </c>
      <c r="B12" s="6" t="n">
        <v>302790997425</v>
      </c>
      <c r="C12" s="8">
        <f>-B12</f>
        <v/>
      </c>
      <c r="D12" s="8">
        <f>IFERROR(MIN(4,INT((RANK.AVG(C12,$C$9:$C$48,1)-1)*5/COUNT($C$9:$C$48))),NA())</f>
        <v/>
      </c>
    </row>
    <row r="13">
      <c r="A13" s="6" t="inlineStr">
        <is>
          <t>WI21010</t>
        </is>
      </c>
      <c r="B13" s="6" t="n">
        <v>-189808739332.5</v>
      </c>
      <c r="C13" s="8">
        <f>-B13</f>
        <v/>
      </c>
      <c r="D13" s="8">
        <f>IFERROR(MIN(4,INT((RANK.AVG(C13,$C$9:$C$48,1)-1)*5/COUNT($C$9:$C$48))),NA())</f>
        <v/>
      </c>
    </row>
    <row r="14">
      <c r="A14" s="6" t="inlineStr">
        <is>
          <t>WI22010</t>
        </is>
      </c>
      <c r="B14" s="6" t="n">
        <v>53675011314.625</v>
      </c>
      <c r="C14" s="8">
        <f>-B14</f>
        <v/>
      </c>
      <c r="D14" s="8">
        <f>IFERROR(MIN(4,INT((RANK.AVG(C14,$C$9:$C$48,1)-1)*5/COUNT($C$9:$C$48))),NA())</f>
        <v/>
      </c>
    </row>
    <row r="15">
      <c r="A15" s="6" t="inlineStr">
        <is>
          <t>WI22020</t>
        </is>
      </c>
      <c r="B15" s="6" t="n">
        <v>-37272250</v>
      </c>
      <c r="C15" s="8">
        <f>-B15</f>
        <v/>
      </c>
      <c r="D15" s="8">
        <f>IFERROR(MIN(4,INT((RANK.AVG(C15,$C$9:$C$48,1)-1)*5/COUNT($C$9:$C$48))),NA())</f>
        <v/>
      </c>
    </row>
    <row r="16">
      <c r="A16" s="6" t="inlineStr">
        <is>
          <t>WI23010</t>
        </is>
      </c>
      <c r="B16" s="6" t="n">
        <v>-558926975012.5</v>
      </c>
      <c r="C16" s="8">
        <f>-B16</f>
        <v/>
      </c>
      <c r="D16" s="8">
        <f>IFERROR(MIN(4,INT((RANK.AVG(C16,$C$9:$C$48,1)-1)*5/COUNT($C$9:$C$48))),NA())</f>
        <v/>
      </c>
    </row>
    <row r="17">
      <c r="A17" s="6" t="inlineStr">
        <is>
          <t>WI23020</t>
        </is>
      </c>
      <c r="B17" s="6" t="n">
        <v>-416663017656.6667</v>
      </c>
      <c r="C17" s="8">
        <f>-B17</f>
        <v/>
      </c>
      <c r="D17" s="8">
        <f>IFERROR(MIN(4,INT((RANK.AVG(C17,$C$9:$C$48,1)-1)*5/COUNT($C$9:$C$48))),NA())</f>
        <v/>
      </c>
    </row>
    <row r="18">
      <c r="A18" s="6" t="inlineStr">
        <is>
          <t>WI24010</t>
        </is>
      </c>
      <c r="B18" s="6" t="n">
        <v>-259878207745</v>
      </c>
      <c r="C18" s="8">
        <f>-B18</f>
        <v/>
      </c>
      <c r="D18" s="8">
        <f>IFERROR(MIN(4,INT((RANK.AVG(C18,$C$9:$C$48,1)-1)*5/COUNT($C$9:$C$48))),NA())</f>
        <v/>
      </c>
    </row>
    <row r="19">
      <c r="A19" s="6" t="inlineStr">
        <is>
          <t>WI25010</t>
        </is>
      </c>
      <c r="B19" s="6" t="n">
        <v>-358118872817.8571</v>
      </c>
      <c r="C19" s="8">
        <f>-B19</f>
        <v/>
      </c>
      <c r="D19" s="8">
        <f>IFERROR(MIN(4,INT((RANK.AVG(C19,$C$9:$C$48,1)-1)*5/COUNT($C$9:$C$48))),NA())</f>
        <v/>
      </c>
    </row>
    <row r="20">
      <c r="A20" s="6" t="inlineStr">
        <is>
          <t>WI25020</t>
        </is>
      </c>
      <c r="B20" s="6" t="n">
        <v>-366114475050</v>
      </c>
      <c r="C20" s="8">
        <f>-B20</f>
        <v/>
      </c>
      <c r="D20" s="8">
        <f>IFERROR(MIN(4,INT((RANK.AVG(C20,$C$9:$C$48,1)-1)*5/COUNT($C$9:$C$48))),NA())</f>
        <v/>
      </c>
    </row>
    <row r="21">
      <c r="A21" s="6" t="inlineStr">
        <is>
          <t>WI25030</t>
        </is>
      </c>
      <c r="B21" s="6" t="n">
        <v>-259246507441.6667</v>
      </c>
      <c r="C21" s="8">
        <f>-B21</f>
        <v/>
      </c>
      <c r="D21" s="8">
        <f>IFERROR(MIN(4,INT((RANK.AVG(C21,$C$9:$C$48,1)-1)*5/COUNT($C$9:$C$48))),NA())</f>
        <v/>
      </c>
    </row>
    <row r="22">
      <c r="A22" s="6" t="inlineStr">
        <is>
          <t>WI26010</t>
        </is>
      </c>
      <c r="B22" s="6" t="n">
        <v>194940742921.1667</v>
      </c>
      <c r="C22" s="8">
        <f>-B22</f>
        <v/>
      </c>
      <c r="D22" s="8">
        <f>IFERROR(MIN(4,INT((RANK.AVG(C22,$C$9:$C$48,1)-1)*5/COUNT($C$9:$C$48))),NA())</f>
        <v/>
      </c>
    </row>
    <row r="23">
      <c r="A23" s="6" t="inlineStr">
        <is>
          <t>WI30010</t>
        </is>
      </c>
      <c r="B23" s="6" t="n">
        <v>3976555453925</v>
      </c>
      <c r="C23" s="8">
        <f>-B23</f>
        <v/>
      </c>
      <c r="D23" s="8">
        <f>IFERROR(MIN(4,INT((RANK.AVG(C23,$C$9:$C$48,1)-1)*5/COUNT($C$9:$C$48))),NA())</f>
        <v/>
      </c>
    </row>
    <row r="24">
      <c r="A24" s="6" t="inlineStr">
        <is>
          <t>WI30020</t>
        </is>
      </c>
      <c r="B24" s="6" t="n">
        <v>35665818768.5</v>
      </c>
      <c r="C24" s="8">
        <f>-B24</f>
        <v/>
      </c>
      <c r="D24" s="8">
        <f>IFERROR(MIN(4,INT((RANK.AVG(C24,$C$9:$C$48,1)-1)*5/COUNT($C$9:$C$48))),NA())</f>
        <v/>
      </c>
    </row>
    <row r="25">
      <c r="A25" s="6" t="inlineStr">
        <is>
          <t>WI31010</t>
        </is>
      </c>
      <c r="B25" s="6" t="n">
        <v>-175996156095.8333</v>
      </c>
      <c r="C25" s="8">
        <f>-B25</f>
        <v/>
      </c>
      <c r="D25" s="8">
        <f>IFERROR(MIN(4,INT((RANK.AVG(C25,$C$9:$C$48,1)-1)*5/COUNT($C$9:$C$48))),NA())</f>
        <v/>
      </c>
    </row>
    <row r="26">
      <c r="A26" s="6" t="inlineStr">
        <is>
          <t>WI31020</t>
        </is>
      </c>
      <c r="B26" s="6" t="n">
        <v>-49177618345</v>
      </c>
      <c r="C26" s="8">
        <f>-B26</f>
        <v/>
      </c>
      <c r="D26" s="8">
        <f>IFERROR(MIN(4,INT((RANK.AVG(C26,$C$9:$C$48,1)-1)*5/COUNT($C$9:$C$48))),NA())</f>
        <v/>
      </c>
    </row>
    <row r="27">
      <c r="A27" s="6" t="inlineStr">
        <is>
          <t>WI31030</t>
        </is>
      </c>
      <c r="B27" s="6" t="n">
        <v>60894203200</v>
      </c>
      <c r="C27" s="8">
        <f>-B27</f>
        <v/>
      </c>
      <c r="D27" s="8">
        <f>IFERROR(MIN(4,INT((RANK.AVG(C27,$C$9:$C$48,1)-1)*5/COUNT($C$9:$C$48))),NA())</f>
        <v/>
      </c>
    </row>
    <row r="28">
      <c r="A28" s="6" t="inlineStr">
        <is>
          <t>WI32010</t>
        </is>
      </c>
      <c r="B28" s="6" t="n">
        <v>-76394335556.66667</v>
      </c>
      <c r="C28" s="8">
        <f>-B28</f>
        <v/>
      </c>
      <c r="D28" s="8">
        <f>IFERROR(MIN(4,INT((RANK.AVG(C28,$C$9:$C$48,1)-1)*5/COUNT($C$9:$C$48))),NA())</f>
        <v/>
      </c>
    </row>
    <row r="29">
      <c r="A29" s="6" t="inlineStr">
        <is>
          <t>WI33010</t>
        </is>
      </c>
      <c r="B29" s="6" t="n">
        <v>339649374500</v>
      </c>
      <c r="C29" s="8">
        <f>-B29</f>
        <v/>
      </c>
      <c r="D29" s="8">
        <f>IFERROR(MIN(4,INT((RANK.AVG(C29,$C$9:$C$48,1)-1)*5/COUNT($C$9:$C$48))),NA())</f>
        <v/>
      </c>
    </row>
    <row r="30">
      <c r="A30" s="6" t="inlineStr">
        <is>
          <t>WI34010</t>
        </is>
      </c>
      <c r="B30" s="6" t="n">
        <v>-175145249531.8571</v>
      </c>
      <c r="C30" s="8">
        <f>-B30</f>
        <v/>
      </c>
      <c r="D30" s="8">
        <f>IFERROR(MIN(4,INT((RANK.AVG(C30,$C$9:$C$48,1)-1)*5/COUNT($C$9:$C$48))),NA())</f>
        <v/>
      </c>
    </row>
    <row r="31">
      <c r="A31" s="6" t="inlineStr">
        <is>
          <t>WI40010</t>
        </is>
      </c>
      <c r="B31" s="6" t="n">
        <v>33223826133.91667</v>
      </c>
      <c r="C31" s="8">
        <f>-B31</f>
        <v/>
      </c>
      <c r="D31" s="8">
        <f>IFERROR(MIN(4,INT((RANK.AVG(C31,$C$9:$C$48,1)-1)*5/COUNT($C$9:$C$48))),NA())</f>
        <v/>
      </c>
    </row>
    <row r="32">
      <c r="A32" s="6" t="inlineStr">
        <is>
          <t>WI40020</t>
        </is>
      </c>
      <c r="B32" s="6" t="n">
        <v>-109756094850</v>
      </c>
      <c r="C32" s="8">
        <f>-B32</f>
        <v/>
      </c>
      <c r="D32" s="8">
        <f>IFERROR(MIN(4,INT((RANK.AVG(C32,$C$9:$C$48,1)-1)*5/COUNT($C$9:$C$48))),NA())</f>
        <v/>
      </c>
    </row>
    <row r="33">
      <c r="A33" s="6" t="inlineStr">
        <is>
          <t>WI41010</t>
        </is>
      </c>
      <c r="B33" s="6" t="n">
        <v>-142040703996.9231</v>
      </c>
      <c r="C33" s="8">
        <f>-B33</f>
        <v/>
      </c>
      <c r="D33" s="8">
        <f>IFERROR(MIN(4,INT((RANK.AVG(C33,$C$9:$C$48,1)-1)*5/COUNT($C$9:$C$48))),NA())</f>
        <v/>
      </c>
    </row>
    <row r="34">
      <c r="A34" s="6" t="inlineStr">
        <is>
          <t>WI41030</t>
        </is>
      </c>
      <c r="B34" s="6" t="n">
        <v>16201750870</v>
      </c>
      <c r="C34" s="8">
        <f>-B34</f>
        <v/>
      </c>
      <c r="D34" s="8">
        <f>IFERROR(MIN(4,INT((RANK.AVG(C34,$C$9:$C$48,1)-1)*5/COUNT($C$9:$C$48))),NA())</f>
        <v/>
      </c>
    </row>
    <row r="35">
      <c r="A35" s="6" t="inlineStr">
        <is>
          <t>WI50010</t>
        </is>
      </c>
      <c r="B35" s="6" t="n">
        <v>-201945981456.1111</v>
      </c>
      <c r="C35" s="8">
        <f>-B35</f>
        <v/>
      </c>
      <c r="D35" s="8">
        <f>IFERROR(MIN(4,INT((RANK.AVG(C35,$C$9:$C$48,1)-1)*5/COUNT($C$9:$C$48))),NA())</f>
        <v/>
      </c>
    </row>
    <row r="36">
      <c r="A36" s="6" t="inlineStr">
        <is>
          <t>WI50020</t>
        </is>
      </c>
      <c r="B36" s="6" t="n">
        <v>8934056425</v>
      </c>
      <c r="C36" s="8">
        <f>-B36</f>
        <v/>
      </c>
      <c r="D36" s="8">
        <f>IFERROR(MIN(4,INT((RANK.AVG(C36,$C$9:$C$48,1)-1)*5/COUNT($C$9:$C$48))),NA())</f>
        <v/>
      </c>
    </row>
    <row r="37">
      <c r="A37" s="6" t="inlineStr">
        <is>
          <t>WI51010</t>
        </is>
      </c>
      <c r="B37" s="6" t="n">
        <v>88184363112.5</v>
      </c>
      <c r="C37" s="8">
        <f>-B37</f>
        <v/>
      </c>
      <c r="D37" s="8">
        <f>IFERROR(MIN(4,INT((RANK.AVG(C37,$C$9:$C$48,1)-1)*5/COUNT($C$9:$C$48))),NA())</f>
        <v/>
      </c>
    </row>
    <row r="38">
      <c r="A38" s="6" t="inlineStr">
        <is>
          <t>WI52010</t>
        </is>
      </c>
      <c r="B38" s="6" t="n">
        <v>-29491244476.6</v>
      </c>
      <c r="C38" s="8">
        <f>-B38</f>
        <v/>
      </c>
      <c r="D38" s="8">
        <f>IFERROR(MIN(4,INT((RANK.AVG(C38,$C$9:$C$48,1)-1)*5/COUNT($C$9:$C$48))),NA())</f>
        <v/>
      </c>
    </row>
    <row r="39">
      <c r="A39" s="6" t="inlineStr">
        <is>
          <t>WI60010</t>
        </is>
      </c>
      <c r="B39" s="6" t="n">
        <v>898873058617.8572</v>
      </c>
      <c r="C39" s="8">
        <f>-B39</f>
        <v/>
      </c>
      <c r="D39" s="8">
        <f>IFERROR(MIN(4,INT((RANK.AVG(C39,$C$9:$C$48,1)-1)*5/COUNT($C$9:$C$48))),NA())</f>
        <v/>
      </c>
    </row>
    <row r="40">
      <c r="A40" s="6" t="inlineStr">
        <is>
          <t>WI60020</t>
        </is>
      </c>
      <c r="B40" s="6" t="n">
        <v>-74379296950</v>
      </c>
      <c r="C40" s="8">
        <f>-B40</f>
        <v/>
      </c>
      <c r="D40" s="8">
        <f>IFERROR(MIN(4,INT((RANK.AVG(C40,$C$9:$C$48,1)-1)*5/COUNT($C$9:$C$48))),NA())</f>
        <v/>
      </c>
    </row>
    <row r="41">
      <c r="A41" s="6" t="inlineStr">
        <is>
          <t>WI61020</t>
        </is>
      </c>
      <c r="B41" s="6" t="n">
        <v>-32628968800</v>
      </c>
      <c r="C41" s="8">
        <f>-B41</f>
        <v/>
      </c>
      <c r="D41" s="8">
        <f>IFERROR(MIN(4,INT((RANK.AVG(C41,$C$9:$C$48,1)-1)*5/COUNT($C$9:$C$48))),NA())</f>
        <v/>
      </c>
    </row>
    <row r="42">
      <c r="A42" s="6" t="inlineStr">
        <is>
          <t>WI61040</t>
        </is>
      </c>
      <c r="B42" s="6" t="n">
        <v>-796652994291.6666</v>
      </c>
      <c r="C42" s="8">
        <f>-B42</f>
        <v/>
      </c>
      <c r="D42" s="8">
        <f>IFERROR(MIN(4,INT((RANK.AVG(C42,$C$9:$C$48,1)-1)*5/COUNT($C$9:$C$48))),NA())</f>
        <v/>
      </c>
    </row>
    <row r="43">
      <c r="A43" s="6" t="inlineStr">
        <is>
          <t>WI62010</t>
        </is>
      </c>
      <c r="B43" s="6" t="n">
        <v>3221849201383.333</v>
      </c>
      <c r="C43" s="8">
        <f>-B43</f>
        <v/>
      </c>
      <c r="D43" s="8">
        <f>IFERROR(MIN(4,INT((RANK.AVG(C43,$C$9:$C$48,1)-1)*5/COUNT($C$9:$C$48))),NA())</f>
        <v/>
      </c>
    </row>
    <row r="44">
      <c r="A44" s="6" t="inlineStr">
        <is>
          <t>WI63010</t>
        </is>
      </c>
      <c r="B44" s="6" t="n">
        <v>-584535544250</v>
      </c>
      <c r="C44" s="8">
        <f>-B44</f>
        <v/>
      </c>
      <c r="D44" s="8">
        <f>IFERROR(MIN(4,INT((RANK.AVG(C44,$C$9:$C$48,1)-1)*5/COUNT($C$9:$C$48))),NA())</f>
        <v/>
      </c>
    </row>
    <row r="45">
      <c r="A45" s="6" t="inlineStr">
        <is>
          <t>WI63020</t>
        </is>
      </c>
      <c r="B45" s="6" t="n">
        <v>-310890349035</v>
      </c>
      <c r="C45" s="8">
        <f>-B45</f>
        <v/>
      </c>
      <c r="D45" s="8">
        <f>IFERROR(MIN(4,INT((RANK.AVG(C45,$C$9:$C$48,1)-1)*5/COUNT($C$9:$C$48))),NA())</f>
        <v/>
      </c>
    </row>
    <row r="46">
      <c r="A46" s="6" t="inlineStr">
        <is>
          <t>WI64010</t>
        </is>
      </c>
      <c r="B46" s="6" t="n">
        <v>-149282380505</v>
      </c>
      <c r="C46" s="8">
        <f>-B46</f>
        <v/>
      </c>
      <c r="D46" s="8">
        <f>IFERROR(MIN(4,INT((RANK.AVG(C46,$C$9:$C$48,1)-1)*5/COUNT($C$9:$C$48))),NA())</f>
        <v/>
      </c>
    </row>
    <row r="47">
      <c r="A47" s="6" t="inlineStr">
        <is>
          <t>WI70010</t>
        </is>
      </c>
      <c r="B47" s="6" t="n">
        <v>-66235353291.66666</v>
      </c>
      <c r="C47" s="8">
        <f>-B47</f>
        <v/>
      </c>
      <c r="D47" s="8">
        <f>IFERROR(MIN(4,INT((RANK.AVG(C47,$C$9:$C$48,1)-1)*5/COUNT($C$9:$C$48))),NA())</f>
        <v/>
      </c>
    </row>
    <row r="48">
      <c r="A48" s="6" t="inlineStr">
        <is>
          <t>WI80010</t>
        </is>
      </c>
      <c r="B48" s="6" t="n">
        <v>-146374455665</v>
      </c>
      <c r="C48" s="8">
        <f>-B48</f>
        <v/>
      </c>
      <c r="D48" s="8">
        <f>IFERROR(MIN(4,INT((RANK.AVG(C48,$C$9:$C$48,1)-1)*5/COUNT($C$9:$C$48))),NA())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value 계산 과정</t>
        </is>
      </c>
    </row>
    <row r="2">
      <c r="A2" t="inlineStr">
        <is>
          <t>신호일</t>
        </is>
      </c>
      <c r="B2" s="2" t="n">
        <v>46142</v>
      </c>
      <c r="C2" t="inlineStr">
        <is>
          <t>공통 signal_date 수</t>
        </is>
      </c>
      <c r="D2" t="n">
        <v>301</v>
      </c>
    </row>
    <row r="3"/>
    <row r="4">
      <c r="A4" s="3" t="inlineStr">
        <is>
          <t>종목명</t>
        </is>
      </c>
      <c r="B4" s="3" t="inlineStr">
        <is>
          <t>티커</t>
        </is>
      </c>
      <c r="C4" s="3" t="inlineStr">
        <is>
          <t>원천재무월</t>
        </is>
      </c>
      <c r="D4" s="3" t="inlineStr">
        <is>
          <t>FCF</t>
        </is>
      </c>
      <c r="E4" s="3" t="inlineStr">
        <is>
          <t>시가총액</t>
        </is>
      </c>
      <c r="F4" s="3" t="inlineStr">
        <is>
          <t>이자발생부채</t>
        </is>
      </c>
      <c r="G4" s="3" t="inlineStr">
        <is>
          <t>당좌자산</t>
        </is>
      </c>
      <c r="H4" s="3" t="inlineStr">
        <is>
          <t>TEV 수식</t>
        </is>
      </c>
      <c r="I4" s="3" t="inlineStr">
        <is>
          <t>FCF/TEV 수식</t>
        </is>
      </c>
      <c r="J4" s="3" t="inlineStr">
        <is>
          <t>score 수식</t>
        </is>
      </c>
      <c r="K4" s="3" t="inlineStr">
        <is>
          <t>score 코드</t>
        </is>
      </c>
    </row>
    <row r="5">
      <c r="A5" t="inlineStr">
        <is>
          <t>삼성전자</t>
        </is>
      </c>
      <c r="B5" t="inlineStr">
        <is>
          <t>A005930</t>
        </is>
      </c>
      <c r="C5" t="inlineStr">
        <is>
          <t>2026-03</t>
        </is>
      </c>
      <c r="D5" t="n">
        <v>37793000000000</v>
      </c>
      <c r="E5" t="n">
        <v>1289100000000000</v>
      </c>
      <c r="F5" t="n">
        <v>25239100000000</v>
      </c>
      <c r="G5" t="n">
        <v>195022000000000</v>
      </c>
      <c r="H5" s="4">
        <f>E5+F5-G5</f>
        <v/>
      </c>
      <c r="I5" s="4">
        <f>IFERROR(IF(H5&lt;=0,-1E+99,D5/H5),NA())</f>
        <v/>
      </c>
      <c r="J5" s="4">
        <f>IFERROR(MIN(4,INT((RANK.AVG(I5,$H$9:$H$185,1)-1)*5/COUNT($H$9:$H$185))),NA())</f>
        <v/>
      </c>
      <c r="K5" t="n">
        <v>2</v>
      </c>
    </row>
    <row r="6">
      <c r="A6" t="inlineStr">
        <is>
          <t>SK하이닉스</t>
        </is>
      </c>
      <c r="B6" t="inlineStr">
        <is>
          <t>A000660</t>
        </is>
      </c>
      <c r="C6" t="inlineStr">
        <is>
          <t>2026-03</t>
        </is>
      </c>
      <c r="D6" t="n">
        <v>25854200000000</v>
      </c>
      <c r="E6" t="n">
        <v>916535000000000</v>
      </c>
      <c r="F6" t="n">
        <v>24757800000000</v>
      </c>
      <c r="G6" t="n">
        <v>49704700000000</v>
      </c>
      <c r="H6" s="4">
        <f>E6+F6-G6</f>
        <v/>
      </c>
      <c r="I6" s="4">
        <f>IFERROR(IF(H6&lt;=0,-1E+99,D6/H6),NA())</f>
        <v/>
      </c>
      <c r="J6" s="4">
        <f>IFERROR(MIN(4,INT((RANK.AVG(I6,$H$9:$H$185,1)-1)*5/COUNT($H$9:$H$185))),NA())</f>
        <v/>
      </c>
      <c r="K6" t="n">
        <v>2</v>
      </c>
    </row>
    <row r="7"/>
    <row r="8">
      <c r="A8" s="5" t="inlineStr">
        <is>
          <t>티커</t>
        </is>
      </c>
      <c r="B8" s="5" t="inlineStr">
        <is>
          <t>원천재무월</t>
        </is>
      </c>
      <c r="C8" s="5" t="inlineStr">
        <is>
          <t>FCF</t>
        </is>
      </c>
      <c r="D8" s="5" t="inlineStr">
        <is>
          <t>시가총액</t>
        </is>
      </c>
      <c r="E8" s="5" t="inlineStr">
        <is>
          <t>이자발생부채</t>
        </is>
      </c>
      <c r="F8" s="5" t="inlineStr">
        <is>
          <t>당좌자산</t>
        </is>
      </c>
      <c r="G8" s="5" t="inlineStr">
        <is>
          <t>TEV 수식</t>
        </is>
      </c>
      <c r="H8" s="5" t="inlineStr">
        <is>
          <t>FCF/TEV 수식</t>
        </is>
      </c>
      <c r="I8" s="5" t="inlineStr">
        <is>
          <t>score 수식</t>
        </is>
      </c>
    </row>
    <row r="9">
      <c r="A9" s="6" t="inlineStr">
        <is>
          <t>A005930</t>
        </is>
      </c>
      <c r="B9" s="6" t="inlineStr">
        <is>
          <t>2026-03</t>
        </is>
      </c>
      <c r="C9" s="6" t="n">
        <v>37793000000000</v>
      </c>
      <c r="D9" s="6" t="n">
        <v>1289100000000000</v>
      </c>
      <c r="E9" s="6" t="n">
        <v>25239100000000</v>
      </c>
      <c r="F9" s="6" t="n">
        <v>195022000000000</v>
      </c>
      <c r="G9" s="8">
        <f>D9+E9-F9</f>
        <v/>
      </c>
      <c r="H9" s="8">
        <f>IFERROR(IF(G9&lt;=0,-1E+99,C9/G9),NA())</f>
        <v/>
      </c>
      <c r="I9" s="8">
        <f>IFERROR(MIN(4,INT((RANK.AVG(H9,$H$9:$H$185,1)-1)*5/COUNT($H$9:$H$185))),NA())</f>
        <v/>
      </c>
    </row>
    <row r="10">
      <c r="A10" s="6" t="inlineStr">
        <is>
          <t>A000660</t>
        </is>
      </c>
      <c r="B10" s="6" t="inlineStr">
        <is>
          <t>2026-03</t>
        </is>
      </c>
      <c r="C10" s="6" t="n">
        <v>25854200000000</v>
      </c>
      <c r="D10" s="6" t="n">
        <v>916535000000000</v>
      </c>
      <c r="E10" s="6" t="n">
        <v>24757800000000</v>
      </c>
      <c r="F10" s="6" t="n">
        <v>49704700000000</v>
      </c>
      <c r="G10" s="8">
        <f>D10+E10-F10</f>
        <v/>
      </c>
      <c r="H10" s="8">
        <f>IFERROR(IF(G10&lt;=0,-1E+99,C10/G10),NA())</f>
        <v/>
      </c>
      <c r="I10" s="8">
        <f>IFERROR(MIN(4,INT((RANK.AVG(H10,$H$9:$H$185,1)-1)*5/COUNT($H$9:$H$185))),NA())</f>
        <v/>
      </c>
    </row>
    <row r="11">
      <c r="A11" s="6" t="inlineStr">
        <is>
          <t>A207940</t>
        </is>
      </c>
      <c r="B11" s="6" t="inlineStr">
        <is>
          <t>2026-03</t>
        </is>
      </c>
      <c r="C11" s="6" t="n">
        <v>856067000000</v>
      </c>
      <c r="D11" s="6" t="n">
        <v>68047700000000</v>
      </c>
      <c r="E11" s="6" t="n">
        <v>927094000000</v>
      </c>
      <c r="F11" s="6" t="n">
        <v>2176580000000</v>
      </c>
      <c r="G11" s="8">
        <f>D11+E11-F11</f>
        <v/>
      </c>
      <c r="H11" s="8">
        <f>IFERROR(IF(G11&lt;=0,-1E+99,C11/G11),NA())</f>
        <v/>
      </c>
      <c r="I11" s="8">
        <f>IFERROR(MIN(4,INT((RANK.AVG(H11,$H$9:$H$185,1)-1)*5/COUNT($H$9:$H$185))),NA())</f>
        <v/>
      </c>
    </row>
    <row r="12">
      <c r="A12" s="6" t="inlineStr">
        <is>
          <t>A373220</t>
        </is>
      </c>
      <c r="B12" s="6" t="inlineStr">
        <is>
          <t>2026-03</t>
        </is>
      </c>
      <c r="C12" s="6" t="n">
        <v>-6401640000000</v>
      </c>
      <c r="D12" s="6" t="n">
        <v>107757000000000</v>
      </c>
      <c r="E12" s="6" t="n">
        <v>24918600000000</v>
      </c>
      <c r="F12" s="6" t="n">
        <v>10072200000000</v>
      </c>
      <c r="G12" s="8">
        <f>D12+E12-F12</f>
        <v/>
      </c>
      <c r="H12" s="8">
        <f>IFERROR(IF(G12&lt;=0,-1E+99,C12/G12),NA())</f>
        <v/>
      </c>
      <c r="I12" s="8">
        <f>IFERROR(MIN(4,INT((RANK.AVG(H12,$H$9:$H$185,1)-1)*5/COUNT($H$9:$H$185))),NA())</f>
        <v/>
      </c>
    </row>
    <row r="13">
      <c r="A13" s="6" t="inlineStr">
        <is>
          <t>A012450</t>
        </is>
      </c>
      <c r="B13" s="6" t="inlineStr">
        <is>
          <t>2026-03</t>
        </is>
      </c>
      <c r="C13" s="6" t="n">
        <v>2339300000000</v>
      </c>
      <c r="D13" s="6" t="n">
        <v>73065300000000</v>
      </c>
      <c r="E13" s="6" t="n">
        <v>12899600000000</v>
      </c>
      <c r="F13" s="6" t="n">
        <v>16388300000000</v>
      </c>
      <c r="G13" s="8">
        <f>D13+E13-F13</f>
        <v/>
      </c>
      <c r="H13" s="8">
        <f>IFERROR(IF(G13&lt;=0,-1E+99,C13/G13),NA())</f>
        <v/>
      </c>
      <c r="I13" s="8">
        <f>IFERROR(MIN(4,INT((RANK.AVG(H13,$H$9:$H$185,1)-1)*5/COUNT($H$9:$H$185))),NA())</f>
        <v/>
      </c>
    </row>
    <row r="14">
      <c r="A14" s="6" t="inlineStr">
        <is>
          <t>A005380</t>
        </is>
      </c>
      <c r="B14" s="6" t="inlineStr">
        <is>
          <t>2026-03</t>
        </is>
      </c>
      <c r="C14" s="6" t="n">
        <v>-14358000000000</v>
      </c>
      <c r="D14" s="6" t="n">
        <v>108726000000000</v>
      </c>
      <c r="E14" s="6" t="n">
        <v>176516000000000</v>
      </c>
      <c r="F14" s="6" t="n">
        <v>42132700000000</v>
      </c>
      <c r="G14" s="8">
        <f>D14+E14-F14</f>
        <v/>
      </c>
      <c r="H14" s="8">
        <f>IFERROR(IF(G14&lt;=0,-1E+99,C14/G14),NA())</f>
        <v/>
      </c>
      <c r="I14" s="8">
        <f>IFERROR(MIN(4,INT((RANK.AVG(H14,$H$9:$H$185,1)-1)*5/COUNT($H$9:$H$185))),NA())</f>
        <v/>
      </c>
    </row>
    <row r="15">
      <c r="A15" s="6" t="inlineStr">
        <is>
          <t>A000270</t>
        </is>
      </c>
      <c r="B15" s="6" t="inlineStr">
        <is>
          <t>2026-03</t>
        </is>
      </c>
      <c r="C15" s="6" t="n">
        <v>5289630000000</v>
      </c>
      <c r="D15" s="6" t="n">
        <v>59264700000000</v>
      </c>
      <c r="E15" s="6" t="n">
        <v>2728970000000</v>
      </c>
      <c r="F15" s="6" t="n">
        <v>29437400000000</v>
      </c>
      <c r="G15" s="8">
        <f>D15+E15-F15</f>
        <v/>
      </c>
      <c r="H15" s="8">
        <f>IFERROR(IF(G15&lt;=0,-1E+99,C15/G15),NA())</f>
        <v/>
      </c>
      <c r="I15" s="8">
        <f>IFERROR(MIN(4,INT((RANK.AVG(H15,$H$9:$H$185,1)-1)*5/COUNT($H$9:$H$185))),NA())</f>
        <v/>
      </c>
    </row>
    <row r="16">
      <c r="A16" s="6" t="inlineStr">
        <is>
          <t>A329180</t>
        </is>
      </c>
      <c r="B16" s="6" t="inlineStr">
        <is>
          <t>2026-03</t>
        </is>
      </c>
      <c r="C16" s="6" t="n">
        <v>2998450000000</v>
      </c>
      <c r="D16" s="6" t="n">
        <v>71898400000000</v>
      </c>
      <c r="E16" s="6" t="n">
        <v>682095000000</v>
      </c>
      <c r="F16" s="6" t="n">
        <v>7830170000000</v>
      </c>
      <c r="G16" s="8">
        <f>D16+E16-F16</f>
        <v/>
      </c>
      <c r="H16" s="8">
        <f>IFERROR(IF(G16&lt;=0,-1E+99,C16/G16),NA())</f>
        <v/>
      </c>
      <c r="I16" s="8">
        <f>IFERROR(MIN(4,INT((RANK.AVG(H16,$H$9:$H$185,1)-1)*5/COUNT($H$9:$H$185))),NA())</f>
        <v/>
      </c>
    </row>
    <row r="17">
      <c r="A17" s="6" t="inlineStr">
        <is>
          <t>A068270</t>
        </is>
      </c>
      <c r="B17" s="6" t="inlineStr">
        <is>
          <t>2026-03</t>
        </is>
      </c>
      <c r="C17" s="6" t="n">
        <v>537827000000</v>
      </c>
      <c r="D17" s="6" t="n">
        <v>44498600000000</v>
      </c>
      <c r="E17" s="6" t="n">
        <v>3728670000000</v>
      </c>
      <c r="F17" s="6" t="n">
        <v>3219610000000</v>
      </c>
      <c r="G17" s="8">
        <f>D17+E17-F17</f>
        <v/>
      </c>
      <c r="H17" s="8">
        <f>IFERROR(IF(G17&lt;=0,-1E+99,C17/G17),NA())</f>
        <v/>
      </c>
      <c r="I17" s="8">
        <f>IFERROR(MIN(4,INT((RANK.AVG(H17,$H$9:$H$185,1)-1)*5/COUNT($H$9:$H$185))),NA())</f>
        <v/>
      </c>
    </row>
    <row r="18">
      <c r="A18" s="6" t="inlineStr">
        <is>
          <t>A034020</t>
        </is>
      </c>
      <c r="B18" s="6" t="inlineStr">
        <is>
          <t>2026-03</t>
        </is>
      </c>
      <c r="C18" s="6" t="n">
        <v>348706000000</v>
      </c>
      <c r="D18" s="6" t="n">
        <v>81415300000000</v>
      </c>
      <c r="E18" s="6" t="n">
        <v>6234520000000</v>
      </c>
      <c r="F18" s="6" t="n">
        <v>8227690000000</v>
      </c>
      <c r="G18" s="8">
        <f>D18+E18-F18</f>
        <v/>
      </c>
      <c r="H18" s="8">
        <f>IFERROR(IF(G18&lt;=0,-1E+99,C18/G18),NA())</f>
        <v/>
      </c>
      <c r="I18" s="8">
        <f>IFERROR(MIN(4,INT((RANK.AVG(H18,$H$9:$H$185,1)-1)*5/COUNT($H$9:$H$185))),NA())</f>
        <v/>
      </c>
    </row>
    <row r="19">
      <c r="A19" s="6" t="inlineStr">
        <is>
          <t>A035420</t>
        </is>
      </c>
      <c r="B19" s="6" t="inlineStr">
        <is>
          <t>2026-03</t>
        </is>
      </c>
      <c r="C19" s="6" t="n">
        <v>1861110000000</v>
      </c>
      <c r="D19" s="6" t="n">
        <v>33095900000000</v>
      </c>
      <c r="E19" s="6" t="n">
        <v>4173500000000</v>
      </c>
      <c r="F19" s="6" t="n">
        <v>10283200000000</v>
      </c>
      <c r="G19" s="8">
        <f>D19+E19-F19</f>
        <v/>
      </c>
      <c r="H19" s="8">
        <f>IFERROR(IF(G19&lt;=0,-1E+99,C19/G19),NA())</f>
        <v/>
      </c>
      <c r="I19" s="8">
        <f>IFERROR(MIN(4,INT((RANK.AVG(H19,$H$9:$H$185,1)-1)*5/COUNT($H$9:$H$185))),NA())</f>
        <v/>
      </c>
    </row>
    <row r="20">
      <c r="A20" s="6" t="inlineStr">
        <is>
          <t>A028260</t>
        </is>
      </c>
      <c r="B20" s="6" t="inlineStr">
        <is>
          <t>2026-03</t>
        </is>
      </c>
      <c r="C20" s="6" t="n">
        <v>1287350000000</v>
      </c>
      <c r="D20" s="6" t="n">
        <v>48407400000000</v>
      </c>
      <c r="E20" s="6" t="n">
        <v>3981520000000</v>
      </c>
      <c r="F20" s="6" t="n">
        <v>15643500000000</v>
      </c>
      <c r="G20" s="8">
        <f>D20+E20-F20</f>
        <v/>
      </c>
      <c r="H20" s="8">
        <f>IFERROR(IF(G20&lt;=0,-1E+99,C20/G20),NA())</f>
        <v/>
      </c>
      <c r="I20" s="8">
        <f>IFERROR(MIN(4,INT((RANK.AVG(H20,$H$9:$H$185,1)-1)*5/COUNT($H$9:$H$185))),NA())</f>
        <v/>
      </c>
    </row>
    <row r="21">
      <c r="A21" s="6" t="inlineStr">
        <is>
          <t>A012330</t>
        </is>
      </c>
      <c r="B21" s="6" t="inlineStr">
        <is>
          <t>2026-03</t>
        </is>
      </c>
      <c r="C21" s="6" t="n">
        <v>3124750000000</v>
      </c>
      <c r="D21" s="6" t="n">
        <v>38561300000000</v>
      </c>
      <c r="E21" s="6" t="n">
        <v>3668080000000</v>
      </c>
      <c r="F21" s="6" t="n">
        <v>16562900000000</v>
      </c>
      <c r="G21" s="8">
        <f>D21+E21-F21</f>
        <v/>
      </c>
      <c r="H21" s="8">
        <f>IFERROR(IF(G21&lt;=0,-1E+99,C21/G21),NA())</f>
        <v/>
      </c>
      <c r="I21" s="8">
        <f>IFERROR(MIN(4,INT((RANK.AVG(H21,$H$9:$H$185,1)-1)*5/COUNT($H$9:$H$185))),NA())</f>
        <v/>
      </c>
    </row>
    <row r="22">
      <c r="A22" s="6" t="inlineStr">
        <is>
          <t>A042660</t>
        </is>
      </c>
      <c r="B22" s="6" t="inlineStr">
        <is>
          <t>2026-03</t>
        </is>
      </c>
      <c r="C22" s="6" t="n">
        <v>605052000000</v>
      </c>
      <c r="D22" s="6" t="n">
        <v>40385300000000</v>
      </c>
      <c r="E22" s="6" t="n">
        <v>5776860000000</v>
      </c>
      <c r="F22" s="6" t="n">
        <v>3458690000000</v>
      </c>
      <c r="G22" s="8">
        <f>D22+E22-F22</f>
        <v/>
      </c>
      <c r="H22" s="8">
        <f>IFERROR(IF(G22&lt;=0,-1E+99,C22/G22),NA())</f>
        <v/>
      </c>
      <c r="I22" s="8">
        <f>IFERROR(MIN(4,INT((RANK.AVG(H22,$H$9:$H$185,1)-1)*5/COUNT($H$9:$H$185))),NA())</f>
        <v/>
      </c>
    </row>
    <row r="23">
      <c r="A23" s="6" t="inlineStr">
        <is>
          <t>A009540</t>
        </is>
      </c>
      <c r="B23" s="6" t="inlineStr">
        <is>
          <t>2026-03</t>
        </is>
      </c>
      <c r="C23" s="6" t="n">
        <v>3475220000000</v>
      </c>
      <c r="D23" s="6" t="n">
        <v>32661800000000</v>
      </c>
      <c r="E23" s="6" t="n">
        <v>1498000000000</v>
      </c>
      <c r="F23" s="6" t="n">
        <v>12918100000000</v>
      </c>
      <c r="G23" s="8">
        <f>D23+E23-F23</f>
        <v/>
      </c>
      <c r="H23" s="8">
        <f>IFERROR(IF(G23&lt;=0,-1E+99,C23/G23),NA())</f>
        <v/>
      </c>
      <c r="I23" s="8">
        <f>IFERROR(MIN(4,INT((RANK.AVG(H23,$H$9:$H$185,1)-1)*5/COUNT($H$9:$H$185))),NA())</f>
        <v/>
      </c>
    </row>
    <row r="24">
      <c r="A24" s="6" t="inlineStr">
        <is>
          <t>A011200</t>
        </is>
      </c>
      <c r="B24" s="6" t="inlineStr">
        <is>
          <t>2026-03</t>
        </is>
      </c>
      <c r="C24" s="6" t="n">
        <v>1711560000000</v>
      </c>
      <c r="D24" s="6" t="n">
        <v>19336400000000</v>
      </c>
      <c r="E24" s="6" t="n">
        <v>5186820000000</v>
      </c>
      <c r="F24" s="6" t="n">
        <v>14745900000000</v>
      </c>
      <c r="G24" s="8">
        <f>D24+E24-F24</f>
        <v/>
      </c>
      <c r="H24" s="8">
        <f>IFERROR(IF(G24&lt;=0,-1E+99,C24/G24),NA())</f>
        <v/>
      </c>
      <c r="I24" s="8">
        <f>IFERROR(MIN(4,INT((RANK.AVG(H24,$H$9:$H$185,1)-1)*5/COUNT($H$9:$H$185))),NA())</f>
        <v/>
      </c>
    </row>
    <row r="25">
      <c r="A25" s="6" t="inlineStr">
        <is>
          <t>A035720</t>
        </is>
      </c>
      <c r="B25" s="6" t="inlineStr">
        <is>
          <t>2026-03</t>
        </is>
      </c>
      <c r="C25" s="6" t="n">
        <v>925593000000</v>
      </c>
      <c r="D25" s="6" t="n">
        <v>20953900000000</v>
      </c>
      <c r="E25" s="6" t="n">
        <v>4025900000000</v>
      </c>
      <c r="F25" s="6" t="n">
        <v>10739500000000</v>
      </c>
      <c r="G25" s="8">
        <f>D25+E25-F25</f>
        <v/>
      </c>
      <c r="H25" s="8">
        <f>IFERROR(IF(G25&lt;=0,-1E+99,C25/G25),NA())</f>
        <v/>
      </c>
      <c r="I25" s="8">
        <f>IFERROR(MIN(4,INT((RANK.AVG(H25,$H$9:$H$185,1)-1)*5/COUNT($H$9:$H$185))),NA())</f>
        <v/>
      </c>
    </row>
    <row r="26">
      <c r="A26" s="6" t="inlineStr">
        <is>
          <t>A005490</t>
        </is>
      </c>
      <c r="B26" s="6" t="inlineStr">
        <is>
          <t>2026-03</t>
        </is>
      </c>
      <c r="C26" s="6" t="n">
        <v>-1093240000000</v>
      </c>
      <c r="D26" s="6" t="n">
        <v>36609600000000</v>
      </c>
      <c r="E26" s="6" t="n">
        <v>29832700000000</v>
      </c>
      <c r="F26" s="6" t="n">
        <v>29839300000000</v>
      </c>
      <c r="G26" s="8">
        <f>D26+E26-F26</f>
        <v/>
      </c>
      <c r="H26" s="8">
        <f>IFERROR(IF(G26&lt;=0,-1E+99,C26/G26),NA())</f>
        <v/>
      </c>
      <c r="I26" s="8">
        <f>IFERROR(MIN(4,INT((RANK.AVG(H26,$H$9:$H$185,1)-1)*5/COUNT($H$9:$H$185))),NA())</f>
        <v/>
      </c>
    </row>
    <row r="27">
      <c r="A27" s="6" t="inlineStr">
        <is>
          <t>A064350</t>
        </is>
      </c>
      <c r="B27" s="6" t="inlineStr">
        <is>
          <t>2026-03</t>
        </is>
      </c>
      <c r="C27" s="6" t="n">
        <v>775068000000</v>
      </c>
      <c r="D27" s="6" t="n">
        <v>29304700000000</v>
      </c>
      <c r="E27" s="6" t="n">
        <v>132429000000</v>
      </c>
      <c r="F27" s="6" t="n">
        <v>5647130000000</v>
      </c>
      <c r="G27" s="8">
        <f>D27+E27-F27</f>
        <v/>
      </c>
      <c r="H27" s="8">
        <f>IFERROR(IF(G27&lt;=0,-1E+99,C27/G27),NA())</f>
        <v/>
      </c>
      <c r="I27" s="8">
        <f>IFERROR(MIN(4,INT((RANK.AVG(H27,$H$9:$H$185,1)-1)*5/COUNT($H$9:$H$185))),NA())</f>
        <v/>
      </c>
    </row>
    <row r="28">
      <c r="A28" s="6" t="inlineStr">
        <is>
          <t>A402340</t>
        </is>
      </c>
      <c r="B28" s="6" t="inlineStr">
        <is>
          <t>2026-03</t>
        </is>
      </c>
      <c r="C28" s="6" t="n">
        <v>364057000000</v>
      </c>
      <c r="D28" s="6" t="n">
        <v>110977000000000</v>
      </c>
      <c r="E28" s="6" t="n">
        <v>112827000000</v>
      </c>
      <c r="F28" s="6" t="n">
        <v>1948280000000</v>
      </c>
      <c r="G28" s="8">
        <f>D28+E28-F28</f>
        <v/>
      </c>
      <c r="H28" s="8">
        <f>IFERROR(IF(G28&lt;=0,-1E+99,C28/G28),NA())</f>
        <v/>
      </c>
      <c r="I28" s="8">
        <f>IFERROR(MIN(4,INT((RANK.AVG(H28,$H$9:$H$185,1)-1)*5/COUNT($H$9:$H$185))),NA())</f>
        <v/>
      </c>
    </row>
    <row r="29">
      <c r="A29" s="6" t="inlineStr">
        <is>
          <t>A015760</t>
        </is>
      </c>
      <c r="B29" s="6" t="inlineStr">
        <is>
          <t>2026-03</t>
        </is>
      </c>
      <c r="C29" s="6" t="n">
        <v>5046020000000</v>
      </c>
      <c r="D29" s="6" t="n">
        <v>27957500000000</v>
      </c>
      <c r="E29" s="6" t="n">
        <v>132920000000000</v>
      </c>
      <c r="F29" s="6" t="n">
        <v>19134400000000</v>
      </c>
      <c r="G29" s="8">
        <f>D29+E29-F29</f>
        <v/>
      </c>
      <c r="H29" s="8">
        <f>IFERROR(IF(G29&lt;=0,-1E+99,C29/G29),NA())</f>
        <v/>
      </c>
      <c r="I29" s="8">
        <f>IFERROR(MIN(4,INT((RANK.AVG(H29,$H$9:$H$185,1)-1)*5/COUNT($H$9:$H$185))),NA())</f>
        <v/>
      </c>
    </row>
    <row r="30">
      <c r="A30" s="6" t="inlineStr">
        <is>
          <t>A259960</t>
        </is>
      </c>
      <c r="B30" s="6" t="inlineStr">
        <is>
          <t>2026-03</t>
        </is>
      </c>
      <c r="C30" s="6" t="n">
        <v>967929000000</v>
      </c>
      <c r="D30" s="6" t="n">
        <v>12563200000000</v>
      </c>
      <c r="E30" s="6" t="n">
        <v>571672000000</v>
      </c>
      <c r="F30" s="6" t="n">
        <v>2282390000000</v>
      </c>
      <c r="G30" s="8">
        <f>D30+E30-F30</f>
        <v/>
      </c>
      <c r="H30" s="8">
        <f>IFERROR(IF(G30&lt;=0,-1E+99,C30/G30),NA())</f>
        <v/>
      </c>
      <c r="I30" s="8">
        <f>IFERROR(MIN(4,INT((RANK.AVG(H30,$H$9:$H$185,1)-1)*5/COUNT($H$9:$H$185))),NA())</f>
        <v/>
      </c>
    </row>
    <row r="31">
      <c r="A31" s="6" t="inlineStr">
        <is>
          <t>A010130</t>
        </is>
      </c>
      <c r="B31" s="6" t="inlineStr">
        <is>
          <t>2026-03</t>
        </is>
      </c>
      <c r="C31" s="6" t="n">
        <v>-1517790000000</v>
      </c>
      <c r="D31" s="6" t="n">
        <v>32958400000000</v>
      </c>
      <c r="E31" s="6" t="n">
        <v>5960220000000</v>
      </c>
      <c r="F31" s="6" t="n">
        <v>4948690000000</v>
      </c>
      <c r="G31" s="8">
        <f>D31+E31-F31</f>
        <v/>
      </c>
      <c r="H31" s="8">
        <f>IFERROR(IF(G31&lt;=0,-1E+99,C31/G31),NA())</f>
        <v/>
      </c>
      <c r="I31" s="8">
        <f>IFERROR(MIN(4,INT((RANK.AVG(H31,$H$9:$H$185,1)-1)*5/COUNT($H$9:$H$185))),NA())</f>
        <v/>
      </c>
    </row>
    <row r="32">
      <c r="A32" s="6" t="inlineStr">
        <is>
          <t>A010140</t>
        </is>
      </c>
      <c r="B32" s="6" t="inlineStr">
        <is>
          <t>2026-03</t>
        </is>
      </c>
      <c r="C32" s="6" t="n">
        <v>1346590000000</v>
      </c>
      <c r="D32" s="6" t="n">
        <v>28468000000000</v>
      </c>
      <c r="E32" s="6" t="n">
        <v>2306530000000</v>
      </c>
      <c r="F32" s="6" t="n">
        <v>4681850000000</v>
      </c>
      <c r="G32" s="8">
        <f>D32+E32-F32</f>
        <v/>
      </c>
      <c r="H32" s="8">
        <f>IFERROR(IF(G32&lt;=0,-1E+99,C32/G32),NA())</f>
        <v/>
      </c>
      <c r="I32" s="8">
        <f>IFERROR(MIN(4,INT((RANK.AVG(H32,$H$9:$H$185,1)-1)*5/COUNT($H$9:$H$185))),NA())</f>
        <v/>
      </c>
    </row>
    <row r="33">
      <c r="A33" s="6" t="inlineStr">
        <is>
          <t>A267260</t>
        </is>
      </c>
      <c r="B33" s="6" t="inlineStr">
        <is>
          <t>2026-03</t>
        </is>
      </c>
      <c r="C33" s="6" t="n">
        <v>726073000000</v>
      </c>
      <c r="D33" s="6" t="n">
        <v>45131000000000</v>
      </c>
      <c r="E33" s="6" t="n">
        <v>258566000000</v>
      </c>
      <c r="F33" s="6" t="n">
        <v>1842810000000</v>
      </c>
      <c r="G33" s="8">
        <f>D33+E33-F33</f>
        <v/>
      </c>
      <c r="H33" s="8">
        <f>IFERROR(IF(G33&lt;=0,-1E+99,C33/G33),NA())</f>
        <v/>
      </c>
      <c r="I33" s="8">
        <f>IFERROR(MIN(4,INT((RANK.AVG(H33,$H$9:$H$185,1)-1)*5/COUNT($H$9:$H$185))),NA())</f>
        <v/>
      </c>
    </row>
    <row r="34">
      <c r="A34" s="6" t="inlineStr">
        <is>
          <t>A033780</t>
        </is>
      </c>
      <c r="B34" s="6" t="inlineStr">
        <is>
          <t>2026-03</t>
        </is>
      </c>
      <c r="C34" s="6" t="n">
        <v>-56660000000</v>
      </c>
      <c r="D34" s="6" t="n">
        <v>20446800000000</v>
      </c>
      <c r="E34" s="6" t="n">
        <v>1843190000000</v>
      </c>
      <c r="F34" s="6" t="n">
        <v>3607940000000</v>
      </c>
      <c r="G34" s="8">
        <f>D34+E34-F34</f>
        <v/>
      </c>
      <c r="H34" s="8">
        <f>IFERROR(IF(G34&lt;=0,-1E+99,C34/G34),NA())</f>
        <v/>
      </c>
      <c r="I34" s="8">
        <f>IFERROR(MIN(4,INT((RANK.AVG(H34,$H$9:$H$185,1)-1)*5/COUNT($H$9:$H$185))),NA())</f>
        <v/>
      </c>
    </row>
    <row r="35">
      <c r="A35" s="6" t="inlineStr">
        <is>
          <t>A051910</t>
        </is>
      </c>
      <c r="B35" s="6" t="inlineStr">
        <is>
          <t>2026-03</t>
        </is>
      </c>
      <c r="C35" s="6" t="n">
        <v>-5426870000000</v>
      </c>
      <c r="D35" s="6" t="n">
        <v>28025200000000</v>
      </c>
      <c r="E35" s="6" t="n">
        <v>36217700000000</v>
      </c>
      <c r="F35" s="6" t="n">
        <v>20353200000000</v>
      </c>
      <c r="G35" s="8">
        <f>D35+E35-F35</f>
        <v/>
      </c>
      <c r="H35" s="8">
        <f>IFERROR(IF(G35&lt;=0,-1E+99,C35/G35),NA())</f>
        <v/>
      </c>
      <c r="I35" s="8">
        <f>IFERROR(MIN(4,INT((RANK.AVG(H35,$H$9:$H$185,1)-1)*5/COUNT($H$9:$H$185))),NA())</f>
        <v/>
      </c>
    </row>
    <row r="36">
      <c r="A36" s="6" t="inlineStr">
        <is>
          <t>A096770</t>
        </is>
      </c>
      <c r="B36" s="6" t="inlineStr">
        <is>
          <t>2026-03</t>
        </is>
      </c>
      <c r="C36" s="6" t="n">
        <v>-3084130000000</v>
      </c>
      <c r="D36" s="6" t="n">
        <v>24715500000000</v>
      </c>
      <c r="E36" s="6" t="n">
        <v>41181800000000</v>
      </c>
      <c r="F36" s="6" t="n">
        <v>25837300000000</v>
      </c>
      <c r="G36" s="8">
        <f>D36+E36-F36</f>
        <v/>
      </c>
      <c r="H36" s="8">
        <f>IFERROR(IF(G36&lt;=0,-1E+99,C36/G36),NA())</f>
        <v/>
      </c>
      <c r="I36" s="8">
        <f>IFERROR(MIN(4,INT((RANK.AVG(H36,$H$9:$H$185,1)-1)*5/COUNT($H$9:$H$185))),NA())</f>
        <v/>
      </c>
    </row>
    <row r="37">
      <c r="A37" s="6" t="inlineStr">
        <is>
          <t>A034730</t>
        </is>
      </c>
      <c r="B37" s="6" t="inlineStr">
        <is>
          <t>2026-03</t>
        </is>
      </c>
      <c r="C37" s="6" t="n">
        <v>-3487580000000</v>
      </c>
      <c r="D37" s="6" t="n">
        <v>30813600000000</v>
      </c>
      <c r="E37" s="6" t="n">
        <v>77143500000000</v>
      </c>
      <c r="F37" s="6" t="n">
        <v>49880600000000</v>
      </c>
      <c r="G37" s="8">
        <f>D37+E37-F37</f>
        <v/>
      </c>
      <c r="H37" s="8">
        <f>IFERROR(IF(G37&lt;=0,-1E+99,C37/G37),NA())</f>
        <v/>
      </c>
      <c r="I37" s="8">
        <f>IFERROR(MIN(4,INT((RANK.AVG(H37,$H$9:$H$185,1)-1)*5/COUNT($H$9:$H$185))),NA())</f>
        <v/>
      </c>
    </row>
    <row r="38">
      <c r="A38" s="6" t="inlineStr">
        <is>
          <t>A030200</t>
        </is>
      </c>
      <c r="B38" s="6" t="inlineStr">
        <is>
          <t>2026-03</t>
        </is>
      </c>
      <c r="C38" s="6" t="n">
        <v>1345190000000</v>
      </c>
      <c r="D38" s="6" t="n">
        <v>15348100000000</v>
      </c>
      <c r="E38" s="6" t="n">
        <v>12208800000000</v>
      </c>
      <c r="F38" s="6" t="n">
        <v>12043500000000</v>
      </c>
      <c r="G38" s="8">
        <f>D38+E38-F38</f>
        <v/>
      </c>
      <c r="H38" s="8">
        <f>IFERROR(IF(G38&lt;=0,-1E+99,C38/G38),NA())</f>
        <v/>
      </c>
      <c r="I38" s="8">
        <f>IFERROR(MIN(4,INT((RANK.AVG(H38,$H$9:$H$185,1)-1)*5/COUNT($H$9:$H$185))),NA())</f>
        <v/>
      </c>
    </row>
    <row r="39">
      <c r="A39" s="6" t="inlineStr">
        <is>
          <t>A352820</t>
        </is>
      </c>
      <c r="B39" s="6" t="inlineStr">
        <is>
          <t>2026-03</t>
        </is>
      </c>
      <c r="C39" s="6" t="n">
        <v>76121496000</v>
      </c>
      <c r="D39" s="6" t="n">
        <v>11335900000000</v>
      </c>
      <c r="E39" s="6" t="n">
        <v>1086070000000</v>
      </c>
      <c r="F39" s="6" t="n">
        <v>2179590000000</v>
      </c>
      <c r="G39" s="8">
        <f>D39+E39-F39</f>
        <v/>
      </c>
      <c r="H39" s="8">
        <f>IFERROR(IF(G39&lt;=0,-1E+99,C39/G39),NA())</f>
        <v/>
      </c>
      <c r="I39" s="8">
        <f>IFERROR(MIN(4,INT((RANK.AVG(H39,$H$9:$H$185,1)-1)*5/COUNT($H$9:$H$185))),NA())</f>
        <v/>
      </c>
    </row>
    <row r="40">
      <c r="A40" s="6" t="inlineStr">
        <is>
          <t>A066570</t>
        </is>
      </c>
      <c r="B40" s="6" t="inlineStr">
        <is>
          <t>2026-03</t>
        </is>
      </c>
      <c r="C40" s="6" t="n">
        <v>1665150000000</v>
      </c>
      <c r="D40" s="6" t="n">
        <v>22950700000000</v>
      </c>
      <c r="E40" s="6" t="n">
        <v>13960300000000</v>
      </c>
      <c r="F40" s="6" t="n">
        <v>22595000000000</v>
      </c>
      <c r="G40" s="8">
        <f>D40+E40-F40</f>
        <v/>
      </c>
      <c r="H40" s="8">
        <f>IFERROR(IF(G40&lt;=0,-1E+99,C40/G40),NA())</f>
        <v/>
      </c>
      <c r="I40" s="8">
        <f>IFERROR(MIN(4,INT((RANK.AVG(H40,$H$9:$H$185,1)-1)*5/COUNT($H$9:$H$185))),NA())</f>
        <v/>
      </c>
    </row>
    <row r="41">
      <c r="A41" s="6" t="inlineStr">
        <is>
          <t>A006400</t>
        </is>
      </c>
      <c r="B41" s="6" t="inlineStr">
        <is>
          <t>2026-03</t>
        </is>
      </c>
      <c r="C41" s="6" t="n">
        <v>-2274470000000</v>
      </c>
      <c r="D41" s="6" t="n">
        <v>56006900000000</v>
      </c>
      <c r="E41" s="6" t="n">
        <v>11071600000000</v>
      </c>
      <c r="F41" s="6" t="n">
        <v>5221250000000</v>
      </c>
      <c r="G41" s="8">
        <f>D41+E41-F41</f>
        <v/>
      </c>
      <c r="H41" s="8">
        <f>IFERROR(IF(G41&lt;=0,-1E+99,C41/G41),NA())</f>
        <v/>
      </c>
      <c r="I41" s="8">
        <f>IFERROR(MIN(4,INT((RANK.AVG(H41,$H$9:$H$185,1)-1)*5/COUNT($H$9:$H$185))),NA())</f>
        <v/>
      </c>
    </row>
    <row r="42">
      <c r="A42" s="6" t="inlineStr">
        <is>
          <t>A003550</t>
        </is>
      </c>
      <c r="B42" s="6" t="inlineStr">
        <is>
          <t>2026-03</t>
        </is>
      </c>
      <c r="C42" s="6" t="n">
        <v>863739000000</v>
      </c>
      <c r="D42" s="6" t="n">
        <v>15283400000000</v>
      </c>
      <c r="E42" s="6" t="n">
        <v>785512000000</v>
      </c>
      <c r="F42" s="6" t="n">
        <v>5278990000000</v>
      </c>
      <c r="G42" s="8">
        <f>D42+E42-F42</f>
        <v/>
      </c>
      <c r="H42" s="8">
        <f>IFERROR(IF(G42&lt;=0,-1E+99,C42/G42),NA())</f>
        <v/>
      </c>
      <c r="I42" s="8">
        <f>IFERROR(MIN(4,INT((RANK.AVG(H42,$H$9:$H$185,1)-1)*5/COUNT($H$9:$H$185))),NA())</f>
        <v/>
      </c>
    </row>
    <row r="43">
      <c r="A43" s="6" t="inlineStr">
        <is>
          <t>A017670</t>
        </is>
      </c>
      <c r="B43" s="6" t="inlineStr">
        <is>
          <t>2026-03</t>
        </is>
      </c>
      <c r="C43" s="6" t="n">
        <v>1717280000000</v>
      </c>
      <c r="D43" s="6" t="n">
        <v>20426500000000</v>
      </c>
      <c r="E43" s="6" t="n">
        <v>10741400000000</v>
      </c>
      <c r="F43" s="6" t="n">
        <v>6255950000000</v>
      </c>
      <c r="G43" s="8">
        <f>D43+E43-F43</f>
        <v/>
      </c>
      <c r="H43" s="8">
        <f>IFERROR(IF(G43&lt;=0,-1E+99,C43/G43),NA())</f>
        <v/>
      </c>
      <c r="I43" s="8">
        <f>IFERROR(MIN(4,INT((RANK.AVG(H43,$H$9:$H$185,1)-1)*5/COUNT($H$9:$H$185))),NA())</f>
        <v/>
      </c>
    </row>
    <row r="44">
      <c r="A44" s="6" t="inlineStr">
        <is>
          <t>A018260</t>
        </is>
      </c>
      <c r="B44" s="6" t="inlineStr">
        <is>
          <t>2026-03</t>
        </is>
      </c>
      <c r="C44" s="6" t="n">
        <v>887982000000</v>
      </c>
      <c r="D44" s="6" t="n">
        <v>12860200000000</v>
      </c>
      <c r="E44" s="6" t="n">
        <v>817092000000</v>
      </c>
      <c r="F44" s="6" t="n">
        <v>9390240000000</v>
      </c>
      <c r="G44" s="8">
        <f>D44+E44-F44</f>
        <v/>
      </c>
      <c r="H44" s="8">
        <f>IFERROR(IF(G44&lt;=0,-1E+99,C44/G44),NA())</f>
        <v/>
      </c>
      <c r="I44" s="8">
        <f>IFERROR(MIN(4,INT((RANK.AVG(H44,$H$9:$H$185,1)-1)*5/COUNT($H$9:$H$185))),NA())</f>
        <v/>
      </c>
    </row>
    <row r="45">
      <c r="A45" s="6" t="inlineStr">
        <is>
          <t>A267250</t>
        </is>
      </c>
      <c r="B45" s="6" t="inlineStr">
        <is>
          <t>2026-03</t>
        </is>
      </c>
      <c r="C45" s="6" t="n">
        <v>5225810000000</v>
      </c>
      <c r="D45" s="6" t="n">
        <v>24527400000000</v>
      </c>
      <c r="E45" s="6" t="n">
        <v>16733200000000</v>
      </c>
      <c r="F45" s="6" t="n">
        <v>16485900000000</v>
      </c>
      <c r="G45" s="8">
        <f>D45+E45-F45</f>
        <v/>
      </c>
      <c r="H45" s="8">
        <f>IFERROR(IF(G45&lt;=0,-1E+99,C45/G45),NA())</f>
        <v/>
      </c>
      <c r="I45" s="8">
        <f>IFERROR(MIN(4,INT((RANK.AVG(H45,$H$9:$H$185,1)-1)*5/COUNT($H$9:$H$185))),NA())</f>
        <v/>
      </c>
    </row>
    <row r="46">
      <c r="A46" s="6" t="inlineStr">
        <is>
          <t>A079550</t>
        </is>
      </c>
      <c r="B46" s="6" t="inlineStr">
        <is>
          <t>2026-03</t>
        </is>
      </c>
      <c r="C46" s="6" t="n">
        <v>-754085000000</v>
      </c>
      <c r="D46" s="6" t="n">
        <v>20702000000000</v>
      </c>
      <c r="E46" s="6" t="n">
        <v>945038000000</v>
      </c>
      <c r="F46" s="6" t="n">
        <v>3106680000000</v>
      </c>
      <c r="G46" s="8">
        <f>D46+E46-F46</f>
        <v/>
      </c>
      <c r="H46" s="8">
        <f>IFERROR(IF(G46&lt;=0,-1E+99,C46/G46),NA())</f>
        <v/>
      </c>
      <c r="I46" s="8">
        <f>IFERROR(MIN(4,INT((RANK.AVG(H46,$H$9:$H$185,1)-1)*5/COUNT($H$9:$H$185))),NA())</f>
        <v/>
      </c>
    </row>
    <row r="47">
      <c r="A47" s="6" t="inlineStr">
        <is>
          <t>A272210</t>
        </is>
      </c>
      <c r="B47" s="6" t="inlineStr">
        <is>
          <t>2026-03</t>
        </is>
      </c>
      <c r="C47" s="6" t="n">
        <v>-220210000000</v>
      </c>
      <c r="D47" s="6" t="n">
        <v>22160200000000</v>
      </c>
      <c r="E47" s="6" t="n">
        <v>1609900000000</v>
      </c>
      <c r="F47" s="6" t="n">
        <v>1590280000000</v>
      </c>
      <c r="G47" s="8">
        <f>D47+E47-F47</f>
        <v/>
      </c>
      <c r="H47" s="8">
        <f>IFERROR(IF(G47&lt;=0,-1E+99,C47/G47),NA())</f>
        <v/>
      </c>
      <c r="I47" s="8">
        <f>IFERROR(MIN(4,INT((RANK.AVG(H47,$H$9:$H$185,1)-1)*5/COUNT($H$9:$H$185))),NA())</f>
        <v/>
      </c>
    </row>
    <row r="48">
      <c r="A48" s="6" t="inlineStr">
        <is>
          <t>A009150</t>
        </is>
      </c>
      <c r="B48" s="6" t="inlineStr">
        <is>
          <t>2026-03</t>
        </is>
      </c>
      <c r="C48" s="6" t="n">
        <v>297978000000</v>
      </c>
      <c r="D48" s="6" t="n">
        <v>62145200000000</v>
      </c>
      <c r="E48" s="6" t="n">
        <v>2277190000000</v>
      </c>
      <c r="F48" s="6" t="n">
        <v>4668950000000</v>
      </c>
      <c r="G48" s="8">
        <f>D48+E48-F48</f>
        <v/>
      </c>
      <c r="H48" s="8">
        <f>IFERROR(IF(G48&lt;=0,-1E+99,C48/G48),NA())</f>
        <v/>
      </c>
      <c r="I48" s="8">
        <f>IFERROR(MIN(4,INT((RANK.AVG(H48,$H$9:$H$185,1)-1)*5/COUNT($H$9:$H$185))),NA())</f>
        <v/>
      </c>
    </row>
    <row r="49">
      <c r="A49" s="6" t="inlineStr">
        <is>
          <t>A000150</t>
        </is>
      </c>
      <c r="B49" s="6" t="inlineStr">
        <is>
          <t>2026-03</t>
        </is>
      </c>
      <c r="C49" s="6" t="n">
        <v>411774000000</v>
      </c>
      <c r="D49" s="6" t="n">
        <v>25845400000000</v>
      </c>
      <c r="E49" s="6" t="n">
        <v>10126400000000</v>
      </c>
      <c r="F49" s="6" t="n">
        <v>11178000000000</v>
      </c>
      <c r="G49" s="8">
        <f>D49+E49-F49</f>
        <v/>
      </c>
      <c r="H49" s="8">
        <f>IFERROR(IF(G49&lt;=0,-1E+99,C49/G49),NA())</f>
        <v/>
      </c>
      <c r="I49" s="8">
        <f>IFERROR(MIN(4,INT((RANK.AVG(H49,$H$9:$H$185,1)-1)*5/COUNT($H$9:$H$185))),NA())</f>
        <v/>
      </c>
    </row>
    <row r="50">
      <c r="A50" s="6" t="inlineStr">
        <is>
          <t>A003670</t>
        </is>
      </c>
      <c r="B50" s="6" t="inlineStr">
        <is>
          <t>2026-03</t>
        </is>
      </c>
      <c r="C50" s="6" t="n">
        <v>-1532490000000</v>
      </c>
      <c r="D50" s="6" t="n">
        <v>22414400000000</v>
      </c>
      <c r="E50" s="6" t="n">
        <v>3951480000000</v>
      </c>
      <c r="F50" s="6" t="n">
        <v>1281930000000</v>
      </c>
      <c r="G50" s="8">
        <f>D50+E50-F50</f>
        <v/>
      </c>
      <c r="H50" s="8">
        <f>IFERROR(IF(G50&lt;=0,-1E+99,C50/G50),NA())</f>
        <v/>
      </c>
      <c r="I50" s="8">
        <f>IFERROR(MIN(4,INT((RANK.AVG(H50,$H$9:$H$185,1)-1)*5/COUNT($H$9:$H$185))),NA())</f>
        <v/>
      </c>
    </row>
    <row r="51">
      <c r="A51" s="6" t="inlineStr">
        <is>
          <t>A180640</t>
        </is>
      </c>
      <c r="B51" s="6" t="inlineStr">
        <is>
          <t>2026-03</t>
        </is>
      </c>
      <c r="C51" s="6" t="n">
        <v>120597000000</v>
      </c>
      <c r="D51" s="6" t="n">
        <v>7524110000000</v>
      </c>
      <c r="E51" s="6" t="n">
        <v>476153000000</v>
      </c>
      <c r="F51" s="6" t="n">
        <v>202495000000</v>
      </c>
      <c r="G51" s="8">
        <f>D51+E51-F51</f>
        <v/>
      </c>
      <c r="H51" s="8">
        <f>IFERROR(IF(G51&lt;=0,-1E+99,C51/G51),NA())</f>
        <v/>
      </c>
      <c r="I51" s="8">
        <f>IFERROR(MIN(4,INT((RANK.AVG(H51,$H$9:$H$185,1)-1)*5/COUNT($H$9:$H$185))),NA())</f>
        <v/>
      </c>
    </row>
    <row r="52">
      <c r="A52" s="6" t="inlineStr">
        <is>
          <t>A086280</t>
        </is>
      </c>
      <c r="B52" s="6" t="inlineStr">
        <is>
          <t>2026-03</t>
        </is>
      </c>
      <c r="C52" s="6" t="n">
        <v>1908020000000</v>
      </c>
      <c r="D52" s="6" t="n">
        <v>17025000000000</v>
      </c>
      <c r="E52" s="6" t="n">
        <v>3697830000000</v>
      </c>
      <c r="F52" s="6" t="n">
        <v>8403440000000</v>
      </c>
      <c r="G52" s="8">
        <f>D52+E52-F52</f>
        <v/>
      </c>
      <c r="H52" s="8">
        <f>IFERROR(IF(G52&lt;=0,-1E+99,C52/G52),NA())</f>
        <v/>
      </c>
      <c r="I52" s="8">
        <f>IFERROR(MIN(4,INT((RANK.AVG(H52,$H$9:$H$185,1)-1)*5/COUNT($H$9:$H$185))),NA())</f>
        <v/>
      </c>
    </row>
    <row r="53">
      <c r="A53" s="6" t="inlineStr">
        <is>
          <t>A047050</t>
        </is>
      </c>
      <c r="B53" s="6" t="inlineStr">
        <is>
          <t>2026-03</t>
        </is>
      </c>
      <c r="C53" s="6" t="n">
        <v>1266920000000</v>
      </c>
      <c r="D53" s="6" t="n">
        <v>15358100000000</v>
      </c>
      <c r="E53" s="6" t="n">
        <v>6950050000000</v>
      </c>
      <c r="F53" s="6" t="n">
        <v>5807680000000</v>
      </c>
      <c r="G53" s="8">
        <f>D53+E53-F53</f>
        <v/>
      </c>
      <c r="H53" s="8">
        <f>IFERROR(IF(G53&lt;=0,-1E+99,C53/G53),NA())</f>
        <v/>
      </c>
      <c r="I53" s="8">
        <f>IFERROR(MIN(4,INT((RANK.AVG(H53,$H$9:$H$185,1)-1)*5/COUNT($H$9:$H$185))),NA())</f>
        <v/>
      </c>
    </row>
    <row r="54">
      <c r="A54" s="6" t="inlineStr">
        <is>
          <t>A003230</t>
        </is>
      </c>
      <c r="B54" s="6" t="inlineStr">
        <is>
          <t>2026-03</t>
        </is>
      </c>
      <c r="C54" s="6" t="n">
        <v>-139701000000</v>
      </c>
      <c r="D54" s="6" t="n">
        <v>10101800000000</v>
      </c>
      <c r="E54" s="6" t="n">
        <v>502649000000</v>
      </c>
      <c r="F54" s="6" t="n">
        <v>599032000000</v>
      </c>
      <c r="G54" s="8">
        <f>D54+E54-F54</f>
        <v/>
      </c>
      <c r="H54" s="8">
        <f>IFERROR(IF(G54&lt;=0,-1E+99,C54/G54),NA())</f>
        <v/>
      </c>
      <c r="I54" s="8">
        <f>IFERROR(MIN(4,INT((RANK.AVG(H54,$H$9:$H$185,1)-1)*5/COUNT($H$9:$H$185))),NA())</f>
        <v/>
      </c>
    </row>
    <row r="55">
      <c r="A55" s="6" t="inlineStr">
        <is>
          <t>A443060</t>
        </is>
      </c>
      <c r="B55" s="6" t="inlineStr">
        <is>
          <t>2026-03</t>
        </is>
      </c>
      <c r="C55" s="6" t="n">
        <v>306966000000</v>
      </c>
      <c r="D55" s="6" t="n">
        <v>11903300000000</v>
      </c>
      <c r="E55" s="6" t="n">
        <v>17912100740</v>
      </c>
      <c r="F55" s="6" t="n">
        <v>908728000000</v>
      </c>
      <c r="G55" s="8">
        <f>D55+E55-F55</f>
        <v/>
      </c>
      <c r="H55" s="8">
        <f>IFERROR(IF(G55&lt;=0,-1E+99,C55/G55),NA())</f>
        <v/>
      </c>
      <c r="I55" s="8">
        <f>IFERROR(MIN(4,INT((RANK.AVG(H55,$H$9:$H$185,1)-1)*5/COUNT($H$9:$H$185))),NA())</f>
        <v/>
      </c>
    </row>
    <row r="56">
      <c r="A56" s="6" t="inlineStr">
        <is>
          <t>A000100</t>
        </is>
      </c>
      <c r="B56" s="6" t="inlineStr">
        <is>
          <t>2026-03</t>
        </is>
      </c>
      <c r="C56" s="6" t="n">
        <v>6626260200</v>
      </c>
      <c r="D56" s="6" t="n">
        <v>7295720000000</v>
      </c>
      <c r="E56" s="6" t="n">
        <v>343156000000</v>
      </c>
      <c r="F56" s="6" t="n">
        <v>1129020000000</v>
      </c>
      <c r="G56" s="8">
        <f>D56+E56-F56</f>
        <v/>
      </c>
      <c r="H56" s="8">
        <f>IFERROR(IF(G56&lt;=0,-1E+99,C56/G56),NA())</f>
        <v/>
      </c>
      <c r="I56" s="8">
        <f>IFERROR(MIN(4,INT((RANK.AVG(H56,$H$9:$H$185,1)-1)*5/COUNT($H$9:$H$185))),NA())</f>
        <v/>
      </c>
    </row>
    <row r="57">
      <c r="A57" s="6" t="inlineStr">
        <is>
          <t>A047810</t>
        </is>
      </c>
      <c r="B57" s="6" t="inlineStr">
        <is>
          <t>2026-03</t>
        </is>
      </c>
      <c r="C57" s="6" t="n">
        <v>-1031880000000</v>
      </c>
      <c r="D57" s="6" t="n">
        <v>16473300000000</v>
      </c>
      <c r="E57" s="6" t="n">
        <v>2183890000000</v>
      </c>
      <c r="F57" s="6" t="n">
        <v>3117760000000</v>
      </c>
      <c r="G57" s="8">
        <f>D57+E57-F57</f>
        <v/>
      </c>
      <c r="H57" s="8">
        <f>IFERROR(IF(G57&lt;=0,-1E+99,C57/G57),NA())</f>
        <v/>
      </c>
      <c r="I57" s="8">
        <f>IFERROR(MIN(4,INT((RANK.AVG(H57,$H$9:$H$185,1)-1)*5/COUNT($H$9:$H$185))),NA())</f>
        <v/>
      </c>
    </row>
    <row r="58">
      <c r="A58" s="6" t="inlineStr">
        <is>
          <t>A003490</t>
        </is>
      </c>
      <c r="B58" s="6" t="inlineStr">
        <is>
          <t>2026-03</t>
        </is>
      </c>
      <c r="C58" s="6" t="n">
        <v>-213949000000</v>
      </c>
      <c r="D58" s="6" t="n">
        <v>9039820000000</v>
      </c>
      <c r="E58" s="6" t="n">
        <v>22488100000000</v>
      </c>
      <c r="F58" s="6" t="n">
        <v>8240660000000</v>
      </c>
      <c r="G58" s="8">
        <f>D58+E58-F58</f>
        <v/>
      </c>
      <c r="H58" s="8">
        <f>IFERROR(IF(G58&lt;=0,-1E+99,C58/G58),NA())</f>
        <v/>
      </c>
      <c r="I58" s="8">
        <f>IFERROR(MIN(4,INT((RANK.AVG(H58,$H$9:$H$185,1)-1)*5/COUNT($H$9:$H$185))),NA())</f>
        <v/>
      </c>
    </row>
    <row r="59">
      <c r="A59" s="6" t="inlineStr">
        <is>
          <t>A042700</t>
        </is>
      </c>
      <c r="B59" s="6" t="inlineStr">
        <is>
          <t>2026-03</t>
        </is>
      </c>
      <c r="C59" s="6" t="n">
        <v>154006000000</v>
      </c>
      <c r="D59" s="6" t="n">
        <v>35074900000000</v>
      </c>
      <c r="E59" s="6" t="n">
        <v>2554319940</v>
      </c>
      <c r="F59" s="6" t="n">
        <v>342891000000</v>
      </c>
      <c r="G59" s="8">
        <f>D59+E59-F59</f>
        <v/>
      </c>
      <c r="H59" s="8">
        <f>IFERROR(IF(G59&lt;=0,-1E+99,C59/G59),NA())</f>
        <v/>
      </c>
      <c r="I59" s="8">
        <f>IFERROR(MIN(4,INT((RANK.AVG(H59,$H$9:$H$185,1)-1)*5/COUNT($H$9:$H$185))),NA())</f>
        <v/>
      </c>
    </row>
    <row r="60">
      <c r="A60" s="6" t="inlineStr">
        <is>
          <t>A090430</t>
        </is>
      </c>
      <c r="B60" s="6" t="inlineStr">
        <is>
          <t>2026-03</t>
        </is>
      </c>
      <c r="C60" s="6" t="n">
        <v>519254000000</v>
      </c>
      <c r="D60" s="6" t="n">
        <v>7914070000000</v>
      </c>
      <c r="E60" s="6" t="n">
        <v>350080000000</v>
      </c>
      <c r="F60" s="6" t="n">
        <v>1040530000000</v>
      </c>
      <c r="G60" s="8">
        <f>D60+E60-F60</f>
        <v/>
      </c>
      <c r="H60" s="8">
        <f>IFERROR(IF(G60&lt;=0,-1E+99,C60/G60),NA())</f>
        <v/>
      </c>
      <c r="I60" s="8">
        <f>IFERROR(MIN(4,INT((RANK.AVG(H60,$H$9:$H$185,1)-1)*5/COUNT($H$9:$H$185))),NA())</f>
        <v/>
      </c>
    </row>
    <row r="61">
      <c r="A61" s="6" t="inlineStr">
        <is>
          <t>A000720</t>
        </is>
      </c>
      <c r="B61" s="6" t="inlineStr">
        <is>
          <t>2026-03</t>
        </is>
      </c>
      <c r="C61" s="6" t="n">
        <v>-855461000000</v>
      </c>
      <c r="D61" s="6" t="n">
        <v>18017400000000</v>
      </c>
      <c r="E61" s="6" t="n">
        <v>3956920000000</v>
      </c>
      <c r="F61" s="6" t="n">
        <v>21187300000000</v>
      </c>
      <c r="G61" s="8">
        <f>D61+E61-F61</f>
        <v/>
      </c>
      <c r="H61" s="8">
        <f>IFERROR(IF(G61&lt;=0,-1E+99,C61/G61),NA())</f>
        <v/>
      </c>
      <c r="I61" s="8">
        <f>IFERROR(MIN(4,INT((RANK.AVG(H61,$H$9:$H$185,1)-1)*5/COUNT($H$9:$H$185))),NA())</f>
        <v/>
      </c>
    </row>
    <row r="62">
      <c r="A62" s="6" t="inlineStr">
        <is>
          <t>A377300</t>
        </is>
      </c>
      <c r="B62" s="6" t="inlineStr">
        <is>
          <t>2026-03</t>
        </is>
      </c>
      <c r="C62" s="6" t="n">
        <v>103290000000</v>
      </c>
      <c r="D62" s="6" t="n">
        <v>7533170000000</v>
      </c>
      <c r="E62" s="6" t="n">
        <v>132308000000</v>
      </c>
      <c r="F62" s="6" t="n">
        <v>3562620000000</v>
      </c>
      <c r="G62" s="8">
        <f>D62+E62-F62</f>
        <v/>
      </c>
      <c r="H62" s="8">
        <f>IFERROR(IF(G62&lt;=0,-1E+99,C62/G62),NA())</f>
        <v/>
      </c>
      <c r="I62" s="8">
        <f>IFERROR(MIN(4,INT((RANK.AVG(H62,$H$9:$H$185,1)-1)*5/COUNT($H$9:$H$185))),NA())</f>
        <v/>
      </c>
    </row>
    <row r="63">
      <c r="A63" s="6" t="inlineStr">
        <is>
          <t>A010120</t>
        </is>
      </c>
      <c r="B63" s="6" t="inlineStr">
        <is>
          <t>2026-03</t>
        </is>
      </c>
      <c r="C63" s="6" t="n">
        <v>99097952390</v>
      </c>
      <c r="D63" s="6" t="n">
        <v>41700000000000</v>
      </c>
      <c r="E63" s="6" t="n">
        <v>1420860000000</v>
      </c>
      <c r="F63" s="6" t="n">
        <v>1974990000000</v>
      </c>
      <c r="G63" s="8">
        <f>D63+E63-F63</f>
        <v/>
      </c>
      <c r="H63" s="8">
        <f>IFERROR(IF(G63&lt;=0,-1E+99,C63/G63),NA())</f>
        <v/>
      </c>
      <c r="I63" s="8">
        <f>IFERROR(MIN(4,INT((RANK.AVG(H63,$H$9:$H$185,1)-1)*5/COUNT($H$9:$H$185))),NA())</f>
        <v/>
      </c>
    </row>
    <row r="64">
      <c r="A64" s="6" t="inlineStr">
        <is>
          <t>A326030</t>
        </is>
      </c>
      <c r="B64" s="6" t="inlineStr">
        <is>
          <t>2026-03</t>
        </is>
      </c>
      <c r="C64" s="6" t="n">
        <v>169442000000</v>
      </c>
      <c r="D64" s="6" t="n">
        <v>7823490000000</v>
      </c>
      <c r="E64" s="6" t="n">
        <v>48919894250</v>
      </c>
      <c r="F64" s="6" t="n">
        <v>582989000000</v>
      </c>
      <c r="G64" s="8">
        <f>D64+E64-F64</f>
        <v/>
      </c>
      <c r="H64" s="8">
        <f>IFERROR(IF(G64&lt;=0,-1E+99,C64/G64),NA())</f>
        <v/>
      </c>
      <c r="I64" s="8">
        <f>IFERROR(MIN(4,INT((RANK.AVG(H64,$H$9:$H$185,1)-1)*5/COUNT($H$9:$H$185))),NA())</f>
        <v/>
      </c>
    </row>
    <row r="65">
      <c r="A65" s="6" t="inlineStr">
        <is>
          <t>A000880</t>
        </is>
      </c>
      <c r="B65" s="6" t="inlineStr">
        <is>
          <t>2026-03</t>
        </is>
      </c>
      <c r="C65" s="6" t="n">
        <v>2636390000000</v>
      </c>
      <c r="D65" s="6" t="n">
        <v>9405760000000</v>
      </c>
      <c r="E65" s="6" t="n">
        <v>62064300000000</v>
      </c>
      <c r="F65" s="6" t="n">
        <v>34773500000000</v>
      </c>
      <c r="G65" s="8">
        <f>D65+E65-F65</f>
        <v/>
      </c>
      <c r="H65" s="8">
        <f>IFERROR(IF(G65&lt;=0,-1E+99,C65/G65),NA())</f>
        <v/>
      </c>
      <c r="I65" s="8">
        <f>IFERROR(MIN(4,INT((RANK.AVG(H65,$H$9:$H$185,1)-1)*5/COUNT($H$9:$H$185))),NA())</f>
        <v/>
      </c>
    </row>
    <row r="66">
      <c r="A66" s="6" t="inlineStr">
        <is>
          <t>A021240</t>
        </is>
      </c>
      <c r="B66" s="6" t="inlineStr">
        <is>
          <t>2026-03</t>
        </is>
      </c>
      <c r="C66" s="6" t="n">
        <v>-188385000000</v>
      </c>
      <c r="D66" s="6" t="n">
        <v>6093080000000</v>
      </c>
      <c r="E66" s="6" t="n">
        <v>2173830000000</v>
      </c>
      <c r="F66" s="6" t="n">
        <v>1933320000000</v>
      </c>
      <c r="G66" s="8">
        <f>D66+E66-F66</f>
        <v/>
      </c>
      <c r="H66" s="8">
        <f>IFERROR(IF(G66&lt;=0,-1E+99,C66/G66),NA())</f>
        <v/>
      </c>
      <c r="I66" s="8">
        <f>IFERROR(MIN(4,INT((RANK.AVG(H66,$H$9:$H$185,1)-1)*5/COUNT($H$9:$H$185))),NA())</f>
        <v/>
      </c>
    </row>
    <row r="67">
      <c r="A67" s="6" t="inlineStr">
        <is>
          <t>A010950</t>
        </is>
      </c>
      <c r="B67" s="6" t="inlineStr">
        <is>
          <t>2026-03</t>
        </is>
      </c>
      <c r="C67" s="6" t="n">
        <v>36268000000</v>
      </c>
      <c r="D67" s="6" t="n">
        <v>15142400000000</v>
      </c>
      <c r="E67" s="6" t="n">
        <v>7908640000000</v>
      </c>
      <c r="F67" s="6" t="n">
        <v>4446250000000</v>
      </c>
      <c r="G67" s="8">
        <f>D67+E67-F67</f>
        <v/>
      </c>
      <c r="H67" s="8">
        <f>IFERROR(IF(G67&lt;=0,-1E+99,C67/G67),NA())</f>
        <v/>
      </c>
      <c r="I67" s="8">
        <f>IFERROR(MIN(4,INT((RANK.AVG(H67,$H$9:$H$185,1)-1)*5/COUNT($H$9:$H$185))),NA())</f>
        <v/>
      </c>
    </row>
    <row r="68">
      <c r="A68" s="6" t="inlineStr">
        <is>
          <t>A009830</t>
        </is>
      </c>
      <c r="B68" s="6" t="inlineStr">
        <is>
          <t>2026-03</t>
        </is>
      </c>
      <c r="C68" s="6" t="n">
        <v>-2665500000000</v>
      </c>
      <c r="D68" s="6" t="n">
        <v>8714950000000</v>
      </c>
      <c r="E68" s="6" t="n">
        <v>15291700000000</v>
      </c>
      <c r="F68" s="6" t="n">
        <v>6277140000000</v>
      </c>
      <c r="G68" s="8">
        <f>D68+E68-F68</f>
        <v/>
      </c>
      <c r="H68" s="8">
        <f>IFERROR(IF(G68&lt;=0,-1E+99,C68/G68),NA())</f>
        <v/>
      </c>
      <c r="I68" s="8">
        <f>IFERROR(MIN(4,INT((RANK.AVG(H68,$H$9:$H$185,1)-1)*5/COUNT($H$9:$H$185))),NA())</f>
        <v/>
      </c>
    </row>
    <row r="69">
      <c r="A69" s="6" t="inlineStr">
        <is>
          <t>A298040</t>
        </is>
      </c>
      <c r="B69" s="6" t="inlineStr">
        <is>
          <t>2026-03</t>
        </is>
      </c>
      <c r="C69" s="6" t="n">
        <v>330100000000</v>
      </c>
      <c r="D69" s="6" t="n">
        <v>36477600000000</v>
      </c>
      <c r="E69" s="6" t="n">
        <v>850990000000</v>
      </c>
      <c r="F69" s="6" t="n">
        <v>2459930000000</v>
      </c>
      <c r="G69" s="8">
        <f>D69+E69-F69</f>
        <v/>
      </c>
      <c r="H69" s="8">
        <f>IFERROR(IF(G69&lt;=0,-1E+99,C69/G69),NA())</f>
        <v/>
      </c>
      <c r="I69" s="8">
        <f>IFERROR(MIN(4,INT((RANK.AVG(H69,$H$9:$H$185,1)-1)*5/COUNT($H$9:$H$185))),NA())</f>
        <v/>
      </c>
    </row>
    <row r="70">
      <c r="A70" s="6" t="inlineStr">
        <is>
          <t>A006260</t>
        </is>
      </c>
      <c r="B70" s="6" t="inlineStr">
        <is>
          <t>2026-03</t>
        </is>
      </c>
      <c r="C70" s="6" t="n">
        <v>-941432000000</v>
      </c>
      <c r="D70" s="6" t="n">
        <v>14133600000000</v>
      </c>
      <c r="E70" s="6" t="n">
        <v>10140600000000</v>
      </c>
      <c r="F70" s="6" t="n">
        <v>8867630000000</v>
      </c>
      <c r="G70" s="8">
        <f>D70+E70-F70</f>
        <v/>
      </c>
      <c r="H70" s="8">
        <f>IFERROR(IF(G70&lt;=0,-1E+99,C70/G70),NA())</f>
        <v/>
      </c>
      <c r="I70" s="8">
        <f>IFERROR(MIN(4,INT((RANK.AVG(H70,$H$9:$H$185,1)-1)*5/COUNT($H$9:$H$185))),NA())</f>
        <v/>
      </c>
    </row>
    <row r="71">
      <c r="A71" s="6" t="inlineStr">
        <is>
          <t>A032640</t>
        </is>
      </c>
      <c r="B71" s="6" t="inlineStr">
        <is>
          <t>2026-03</t>
        </is>
      </c>
      <c r="C71" s="6" t="n">
        <v>1352330000000</v>
      </c>
      <c r="D71" s="6" t="n">
        <v>6808480000000</v>
      </c>
      <c r="E71" s="6" t="n">
        <v>7036920000000</v>
      </c>
      <c r="F71" s="6" t="n">
        <v>3284570000000</v>
      </c>
      <c r="G71" s="8">
        <f>D71+E71-F71</f>
        <v/>
      </c>
      <c r="H71" s="8">
        <f>IFERROR(IF(G71&lt;=0,-1E+99,C71/G71),NA())</f>
        <v/>
      </c>
      <c r="I71" s="8">
        <f>IFERROR(MIN(4,INT((RANK.AVG(H71,$H$9:$H$185,1)-1)*5/COUNT($H$9:$H$185))),NA())</f>
        <v/>
      </c>
    </row>
    <row r="72">
      <c r="A72" s="6" t="inlineStr">
        <is>
          <t>A051900</t>
        </is>
      </c>
      <c r="B72" s="6" t="inlineStr">
        <is>
          <t>2026-03</t>
        </is>
      </c>
      <c r="C72" s="6" t="n">
        <v>367554000000</v>
      </c>
      <c r="D72" s="6" t="n">
        <v>3886820000000</v>
      </c>
      <c r="E72" s="6" t="n">
        <v>218704000000</v>
      </c>
      <c r="F72" s="6" t="n">
        <v>1787690000000</v>
      </c>
      <c r="G72" s="8">
        <f>D72+E72-F72</f>
        <v/>
      </c>
      <c r="H72" s="8">
        <f>IFERROR(IF(G72&lt;=0,-1E+99,C72/G72),NA())</f>
        <v/>
      </c>
      <c r="I72" s="8">
        <f>IFERROR(MIN(4,INT((RANK.AVG(H72,$H$9:$H$185,1)-1)*5/COUNT($H$9:$H$185))),NA())</f>
        <v/>
      </c>
    </row>
    <row r="73">
      <c r="A73" s="6" t="inlineStr">
        <is>
          <t>A251270</t>
        </is>
      </c>
      <c r="B73" s="6" t="inlineStr">
        <is>
          <t>2026-03</t>
        </is>
      </c>
      <c r="C73" s="6" t="n">
        <v>290499000000</v>
      </c>
      <c r="D73" s="6" t="n">
        <v>4069330000000</v>
      </c>
      <c r="E73" s="6" t="n">
        <v>1590590000000</v>
      </c>
      <c r="F73" s="6" t="n">
        <v>1214020000000</v>
      </c>
      <c r="G73" s="8">
        <f>D73+E73-F73</f>
        <v/>
      </c>
      <c r="H73" s="8">
        <f>IFERROR(IF(G73&lt;=0,-1E+99,C73/G73),NA())</f>
        <v/>
      </c>
      <c r="I73" s="8">
        <f>IFERROR(MIN(4,INT((RANK.AVG(H73,$H$9:$H$185,1)-1)*5/COUNT($H$9:$H$185))),NA())</f>
        <v/>
      </c>
    </row>
    <row r="74">
      <c r="A74" s="6" t="inlineStr">
        <is>
          <t>A278470</t>
        </is>
      </c>
      <c r="B74" s="6" t="inlineStr">
        <is>
          <t>2026-03</t>
        </is>
      </c>
      <c r="C74" s="6" t="n">
        <v>325635000000</v>
      </c>
      <c r="D74" s="6" t="n">
        <v>15892500000000</v>
      </c>
      <c r="E74" s="6" t="n">
        <v>100712000000</v>
      </c>
      <c r="F74" s="6" t="n">
        <v>287353000000</v>
      </c>
      <c r="G74" s="8">
        <f>D74+E74-F74</f>
        <v/>
      </c>
      <c r="H74" s="8">
        <f>IFERROR(IF(G74&lt;=0,-1E+99,C74/G74),NA())</f>
        <v/>
      </c>
      <c r="I74" s="8">
        <f>IFERROR(MIN(4,INT((RANK.AVG(H74,$H$9:$H$185,1)-1)*5/COUNT($H$9:$H$185))),NA())</f>
        <v/>
      </c>
    </row>
    <row r="75">
      <c r="A75" s="6" t="inlineStr">
        <is>
          <t>A064400</t>
        </is>
      </c>
      <c r="B75" s="6" t="inlineStr">
        <is>
          <t>2026-03</t>
        </is>
      </c>
      <c r="C75" s="6" t="n">
        <v>373752000000</v>
      </c>
      <c r="D75" s="6" t="n">
        <v>6297590000000</v>
      </c>
      <c r="E75" s="6" t="n">
        <v>771719000000</v>
      </c>
      <c r="F75" s="6" t="n">
        <v>3446890000000</v>
      </c>
      <c r="G75" s="8">
        <f>D75+E75-F75</f>
        <v/>
      </c>
      <c r="H75" s="8">
        <f>IFERROR(IF(G75&lt;=0,-1E+99,C75/G75),NA())</f>
        <v/>
      </c>
      <c r="I75" s="8">
        <f>IFERROR(MIN(4,INT((RANK.AVG(H75,$H$9:$H$185,1)-1)*5/COUNT($H$9:$H$185))),NA())</f>
        <v/>
      </c>
    </row>
    <row r="76">
      <c r="A76" s="6" t="inlineStr">
        <is>
          <t>A161390</t>
        </is>
      </c>
      <c r="B76" s="6" t="inlineStr">
        <is>
          <t>2026-03</t>
        </is>
      </c>
      <c r="C76" s="6" t="n">
        <v>-499637000000</v>
      </c>
      <c r="D76" s="6" t="n">
        <v>7333400000000</v>
      </c>
      <c r="E76" s="6" t="n">
        <v>6412520000000</v>
      </c>
      <c r="F76" s="6" t="n">
        <v>7513260000000</v>
      </c>
      <c r="G76" s="8">
        <f>D76+E76-F76</f>
        <v/>
      </c>
      <c r="H76" s="8">
        <f>IFERROR(IF(G76&lt;=0,-1E+99,C76/G76),NA())</f>
        <v/>
      </c>
      <c r="I76" s="8">
        <f>IFERROR(MIN(4,INT((RANK.AVG(H76,$H$9:$H$185,1)-1)*5/COUNT($H$9:$H$185))),NA())</f>
        <v/>
      </c>
    </row>
    <row r="77">
      <c r="A77" s="6" t="inlineStr">
        <is>
          <t>A241560</t>
        </is>
      </c>
      <c r="B77" s="6" t="inlineStr">
        <is>
          <t>2026-03</t>
        </is>
      </c>
      <c r="C77" s="6" t="n">
        <v>938442000000</v>
      </c>
      <c r="D77" s="6" t="n">
        <v>6901640000000</v>
      </c>
      <c r="E77" s="6" t="n">
        <v>1712510000000</v>
      </c>
      <c r="F77" s="6" t="n">
        <v>2801340000000</v>
      </c>
      <c r="G77" s="8">
        <f>D77+E77-F77</f>
        <v/>
      </c>
      <c r="H77" s="8">
        <f>IFERROR(IF(G77&lt;=0,-1E+99,C77/G77),NA())</f>
        <v/>
      </c>
      <c r="I77" s="8">
        <f>IFERROR(MIN(4,INT((RANK.AVG(H77,$H$9:$H$185,1)-1)*5/COUNT($H$9:$H$185))),NA())</f>
        <v/>
      </c>
    </row>
    <row r="78">
      <c r="A78" s="6" t="inlineStr">
        <is>
          <t>A001040</t>
        </is>
      </c>
      <c r="B78" s="6" t="inlineStr">
        <is>
          <t>2026-03</t>
        </is>
      </c>
      <c r="C78" s="6" t="n">
        <v>2651750000000</v>
      </c>
      <c r="D78" s="6" t="n">
        <v>6550240000000</v>
      </c>
      <c r="E78" s="6" t="n">
        <v>18511700000000</v>
      </c>
      <c r="F78" s="6" t="n">
        <v>9082400000000</v>
      </c>
      <c r="G78" s="8">
        <f>D78+E78-F78</f>
        <v/>
      </c>
      <c r="H78" s="8">
        <f>IFERROR(IF(G78&lt;=0,-1E+99,C78/G78),NA())</f>
        <v/>
      </c>
      <c r="I78" s="8">
        <f>IFERROR(MIN(4,INT((RANK.AVG(H78,$H$9:$H$185,1)-1)*5/COUNT($H$9:$H$185))),NA())</f>
        <v/>
      </c>
    </row>
    <row r="79">
      <c r="A79" s="6" t="inlineStr">
        <is>
          <t>A028050</t>
        </is>
      </c>
      <c r="B79" s="6" t="inlineStr">
        <is>
          <t>2026-03</t>
        </is>
      </c>
      <c r="C79" s="6" t="n">
        <v>200941000000</v>
      </c>
      <c r="D79" s="6" t="n">
        <v>10407600000000</v>
      </c>
      <c r="E79" s="6" t="n">
        <v>20199183000</v>
      </c>
      <c r="F79" s="6" t="n">
        <v>6928080000000</v>
      </c>
      <c r="G79" s="8">
        <f>D79+E79-F79</f>
        <v/>
      </c>
      <c r="H79" s="8">
        <f>IFERROR(IF(G79&lt;=0,-1E+99,C79/G79),NA())</f>
        <v/>
      </c>
      <c r="I79" s="8">
        <f>IFERROR(MIN(4,INT((RANK.AVG(H79,$H$9:$H$185,1)-1)*5/COUNT($H$9:$H$185))),NA())</f>
        <v/>
      </c>
    </row>
    <row r="80">
      <c r="A80" s="6" t="inlineStr">
        <is>
          <t>A271560</t>
        </is>
      </c>
      <c r="B80" s="6" t="inlineStr">
        <is>
          <t>2026-03</t>
        </is>
      </c>
      <c r="C80" s="6" t="n">
        <v>414773000000</v>
      </c>
      <c r="D80" s="6" t="n">
        <v>5677390000000</v>
      </c>
      <c r="E80" s="6" t="n">
        <v>35516034970</v>
      </c>
      <c r="F80" s="6" t="n">
        <v>1540610000000</v>
      </c>
      <c r="G80" s="8">
        <f>D80+E80-F80</f>
        <v/>
      </c>
      <c r="H80" s="8">
        <f>IFERROR(IF(G80&lt;=0,-1E+99,C80/G80),NA())</f>
        <v/>
      </c>
      <c r="I80" s="8">
        <f>IFERROR(MIN(4,INT((RANK.AVG(H80,$H$9:$H$185,1)-1)*5/COUNT($H$9:$H$185))),NA())</f>
        <v/>
      </c>
    </row>
    <row r="81">
      <c r="A81" s="6" t="inlineStr">
        <is>
          <t>A034220</t>
        </is>
      </c>
      <c r="B81" s="6" t="inlineStr">
        <is>
          <t>2026-03</t>
        </is>
      </c>
      <c r="C81" s="6" t="n">
        <v>1004150000000</v>
      </c>
      <c r="D81" s="6" t="n">
        <v>6130000000000</v>
      </c>
      <c r="E81" s="6" t="n">
        <v>12723800000000</v>
      </c>
      <c r="F81" s="6" t="n">
        <v>4436410000000</v>
      </c>
      <c r="G81" s="8">
        <f>D81+E81-F81</f>
        <v/>
      </c>
      <c r="H81" s="8">
        <f>IFERROR(IF(G81&lt;=0,-1E+99,C81/G81),NA())</f>
        <v/>
      </c>
      <c r="I81" s="8">
        <f>IFERROR(MIN(4,INT((RANK.AVG(H81,$H$9:$H$185,1)-1)*5/COUNT($H$9:$H$185))),NA())</f>
        <v/>
      </c>
    </row>
    <row r="82">
      <c r="A82" s="6" t="inlineStr">
        <is>
          <t>A078930</t>
        </is>
      </c>
      <c r="B82" s="6" t="inlineStr">
        <is>
          <t>2026-03</t>
        </is>
      </c>
      <c r="C82" s="6" t="n">
        <v>310482000000</v>
      </c>
      <c r="D82" s="6" t="n">
        <v>7609770000000</v>
      </c>
      <c r="E82" s="6" t="n">
        <v>11207500000000</v>
      </c>
      <c r="F82" s="6" t="n">
        <v>4502100000000</v>
      </c>
      <c r="G82" s="8">
        <f>D82+E82-F82</f>
        <v/>
      </c>
      <c r="H82" s="8">
        <f>IFERROR(IF(G82&lt;=0,-1E+99,C82/G82),NA())</f>
        <v/>
      </c>
      <c r="I82" s="8">
        <f>IFERROR(MIN(4,INT((RANK.AVG(H82,$H$9:$H$185,1)-1)*5/COUNT($H$9:$H$185))),NA())</f>
        <v/>
      </c>
    </row>
    <row r="83">
      <c r="A83" s="6" t="inlineStr">
        <is>
          <t>A004020</t>
        </is>
      </c>
      <c r="B83" s="6" t="inlineStr">
        <is>
          <t>2026-03</t>
        </is>
      </c>
      <c r="C83" s="6" t="n">
        <v>560592000000</v>
      </c>
      <c r="D83" s="6" t="n">
        <v>5678120000000</v>
      </c>
      <c r="E83" s="6" t="n">
        <v>9907640000000</v>
      </c>
      <c r="F83" s="6" t="n">
        <v>4861510000000</v>
      </c>
      <c r="G83" s="8">
        <f>D83+E83-F83</f>
        <v/>
      </c>
      <c r="H83" s="8">
        <f>IFERROR(IF(G83&lt;=0,-1E+99,C83/G83),NA())</f>
        <v/>
      </c>
      <c r="I83" s="8">
        <f>IFERROR(MIN(4,INT((RANK.AVG(H83,$H$9:$H$185,1)-1)*5/COUNT($H$9:$H$185))),NA())</f>
        <v/>
      </c>
    </row>
    <row r="84">
      <c r="A84" s="6" t="inlineStr">
        <is>
          <t>A307950</t>
        </is>
      </c>
      <c r="B84" s="6" t="inlineStr">
        <is>
          <t>2026-03</t>
        </is>
      </c>
      <c r="C84" s="6" t="n">
        <v>254118000000</v>
      </c>
      <c r="D84" s="6" t="n">
        <v>12354500000000</v>
      </c>
      <c r="E84" s="6" t="n">
        <v>198980000000</v>
      </c>
      <c r="F84" s="6" t="n">
        <v>2332540000000</v>
      </c>
      <c r="G84" s="8">
        <f>D84+E84-F84</f>
        <v/>
      </c>
      <c r="H84" s="8">
        <f>IFERROR(IF(G84&lt;=0,-1E+99,C84/G84),NA())</f>
        <v/>
      </c>
      <c r="I84" s="8">
        <f>IFERROR(MIN(4,INT((RANK.AVG(H84,$H$9:$H$185,1)-1)*5/COUNT($H$9:$H$185))),NA())</f>
        <v/>
      </c>
    </row>
    <row r="85">
      <c r="A85" s="6" t="inlineStr">
        <is>
          <t>A128940</t>
        </is>
      </c>
      <c r="B85" s="6" t="inlineStr">
        <is>
          <t>2026-03</t>
        </is>
      </c>
      <c r="C85" s="6" t="n">
        <v>130048000000</v>
      </c>
      <c r="D85" s="6" t="n">
        <v>5893060000000</v>
      </c>
      <c r="E85" s="6" t="n">
        <v>434211000000</v>
      </c>
      <c r="F85" s="6" t="n">
        <v>552038000000</v>
      </c>
      <c r="G85" s="8">
        <f>D85+E85-F85</f>
        <v/>
      </c>
      <c r="H85" s="8">
        <f>IFERROR(IF(G85&lt;=0,-1E+99,C85/G85),NA())</f>
        <v/>
      </c>
      <c r="I85" s="8">
        <f>IFERROR(MIN(4,INT((RANK.AVG(H85,$H$9:$H$185,1)-1)*5/COUNT($H$9:$H$185))),NA())</f>
        <v/>
      </c>
    </row>
    <row r="86">
      <c r="A86" s="6" t="inlineStr">
        <is>
          <t>A036570</t>
        </is>
      </c>
      <c r="B86" s="6" t="inlineStr">
        <is>
          <t>2026-03</t>
        </is>
      </c>
      <c r="C86" s="6" t="n">
        <v>58507424770</v>
      </c>
      <c r="D86" s="6" t="n">
        <v>5827660000000</v>
      </c>
      <c r="E86" s="6" t="n">
        <v>357020000000</v>
      </c>
      <c r="F86" s="6" t="n">
        <v>1263090000000</v>
      </c>
      <c r="G86" s="8">
        <f>D86+E86-F86</f>
        <v/>
      </c>
      <c r="H86" s="8">
        <f>IFERROR(IF(G86&lt;=0,-1E+99,C86/G86),NA())</f>
        <v/>
      </c>
      <c r="I86" s="8">
        <f>IFERROR(MIN(4,INT((RANK.AVG(H86,$H$9:$H$185,1)-1)*5/COUNT($H$9:$H$185))),NA())</f>
        <v/>
      </c>
    </row>
    <row r="87">
      <c r="A87" s="6" t="inlineStr">
        <is>
          <t>A097950</t>
        </is>
      </c>
      <c r="B87" s="6" t="inlineStr">
        <is>
          <t>2026-03</t>
        </is>
      </c>
      <c r="C87" s="6" t="n">
        <v>851080000000</v>
      </c>
      <c r="D87" s="6" t="n">
        <v>3710860000000</v>
      </c>
      <c r="E87" s="6" t="n">
        <v>11529900000000</v>
      </c>
      <c r="F87" s="6" t="n">
        <v>5025500000000</v>
      </c>
      <c r="G87" s="8">
        <f>D87+E87-F87</f>
        <v/>
      </c>
      <c r="H87" s="8">
        <f>IFERROR(IF(G87&lt;=0,-1E+99,C87/G87),NA())</f>
        <v/>
      </c>
      <c r="I87" s="8">
        <f>IFERROR(MIN(4,INT((RANK.AVG(H87,$H$9:$H$185,1)-1)*5/COUNT($H$9:$H$185))),NA())</f>
        <v/>
      </c>
    </row>
    <row r="88">
      <c r="A88" s="6" t="inlineStr">
        <is>
          <t>A035250</t>
        </is>
      </c>
      <c r="B88" s="6" t="inlineStr">
        <is>
          <t>2026-03</t>
        </is>
      </c>
      <c r="C88" s="6" t="n">
        <v>178563000000</v>
      </c>
      <c r="D88" s="6" t="n">
        <v>3679780000000</v>
      </c>
      <c r="E88" s="6" t="n">
        <v>53715289000</v>
      </c>
      <c r="F88" s="6" t="n">
        <v>785260000000</v>
      </c>
      <c r="G88" s="8">
        <f>D88+E88-F88</f>
        <v/>
      </c>
      <c r="H88" s="8">
        <f>IFERROR(IF(G88&lt;=0,-1E+99,C88/G88),NA())</f>
        <v/>
      </c>
      <c r="I88" s="8">
        <f>IFERROR(MIN(4,INT((RANK.AVG(H88,$H$9:$H$185,1)-1)*5/COUNT($H$9:$H$185))),NA())</f>
        <v/>
      </c>
    </row>
    <row r="89">
      <c r="A89" s="6" t="inlineStr">
        <is>
          <t>A011790</t>
        </is>
      </c>
      <c r="B89" s="6" t="inlineStr">
        <is>
          <t>2026-03</t>
        </is>
      </c>
      <c r="C89" s="6" t="n">
        <v>-851683000000</v>
      </c>
      <c r="D89" s="6" t="n">
        <v>4468460000000</v>
      </c>
      <c r="E89" s="6" t="n">
        <v>3738010000000</v>
      </c>
      <c r="F89" s="6" t="n">
        <v>1375000000000</v>
      </c>
      <c r="G89" s="8">
        <f>D89+E89-F89</f>
        <v/>
      </c>
      <c r="H89" s="8">
        <f>IFERROR(IF(G89&lt;=0,-1E+99,C89/G89),NA())</f>
        <v/>
      </c>
      <c r="I89" s="8">
        <f>IFERROR(MIN(4,INT((RANK.AVG(H89,$H$9:$H$185,1)-1)*5/COUNT($H$9:$H$185))),NA())</f>
        <v/>
      </c>
    </row>
    <row r="90">
      <c r="A90" s="6" t="inlineStr">
        <is>
          <t>A302440</t>
        </is>
      </c>
      <c r="B90" s="6" t="inlineStr">
        <is>
          <t>2026-03</t>
        </is>
      </c>
      <c r="C90" s="6" t="n">
        <v>-80583711450</v>
      </c>
      <c r="D90" s="6" t="n">
        <v>3377550000000</v>
      </c>
      <c r="E90" s="6" t="n">
        <v>469988000000</v>
      </c>
      <c r="F90" s="6" t="n">
        <v>637021000000</v>
      </c>
      <c r="G90" s="8">
        <f>D90+E90-F90</f>
        <v/>
      </c>
      <c r="H90" s="8">
        <f>IFERROR(IF(G90&lt;=0,-1E+99,C90/G90),NA())</f>
        <v/>
      </c>
      <c r="I90" s="8">
        <f>IFERROR(MIN(4,INT((RANK.AVG(H90,$H$9:$H$185,1)-1)*5/COUNT($H$9:$H$185))),NA())</f>
        <v/>
      </c>
    </row>
    <row r="91">
      <c r="A91" s="6" t="inlineStr">
        <is>
          <t>A011070</t>
        </is>
      </c>
      <c r="B91" s="6" t="inlineStr">
        <is>
          <t>2026-03</t>
        </is>
      </c>
      <c r="C91" s="6" t="n">
        <v>720414000000</v>
      </c>
      <c r="D91" s="6" t="n">
        <v>13561300000000</v>
      </c>
      <c r="E91" s="6" t="n">
        <v>2282210000000</v>
      </c>
      <c r="F91" s="6" t="n">
        <v>4989590000000</v>
      </c>
      <c r="G91" s="8">
        <f>D91+E91-F91</f>
        <v/>
      </c>
      <c r="H91" s="8">
        <f>IFERROR(IF(G91&lt;=0,-1E+99,C91/G91),NA())</f>
        <v/>
      </c>
      <c r="I91" s="8">
        <f>IFERROR(MIN(4,INT((RANK.AVG(H91,$H$9:$H$185,1)-1)*5/COUNT($H$9:$H$185))),NA())</f>
        <v/>
      </c>
    </row>
    <row r="92">
      <c r="A92" s="6" t="inlineStr">
        <is>
          <t>A036460</t>
        </is>
      </c>
      <c r="B92" s="6" t="inlineStr">
        <is>
          <t>2026-03</t>
        </is>
      </c>
      <c r="C92" s="6" t="n">
        <v>4551570000000</v>
      </c>
      <c r="D92" s="6" t="n">
        <v>3609440000000</v>
      </c>
      <c r="E92" s="6" t="n">
        <v>36347800000000</v>
      </c>
      <c r="F92" s="6" t="n">
        <v>10237600000000</v>
      </c>
      <c r="G92" s="8">
        <f>D92+E92-F92</f>
        <v/>
      </c>
      <c r="H92" s="8">
        <f>IFERROR(IF(G92&lt;=0,-1E+99,C92/G92),NA())</f>
        <v/>
      </c>
      <c r="I92" s="8">
        <f>IFERROR(MIN(4,INT((RANK.AVG(H92,$H$9:$H$185,1)-1)*5/COUNT($H$9:$H$185))),NA())</f>
        <v/>
      </c>
    </row>
    <row r="93">
      <c r="A93" s="6" t="inlineStr">
        <is>
          <t>A022100</t>
        </is>
      </c>
      <c r="B93" s="6" t="inlineStr">
        <is>
          <t>2026-03</t>
        </is>
      </c>
      <c r="C93" s="6" t="n">
        <v>140499000000</v>
      </c>
      <c r="D93" s="6" t="n">
        <v>5306010000000</v>
      </c>
      <c r="E93" s="6" t="n">
        <v>2298893000</v>
      </c>
      <c r="F93" s="6" t="n">
        <v>598901000000</v>
      </c>
      <c r="G93" s="8">
        <f>D93+E93-F93</f>
        <v/>
      </c>
      <c r="H93" s="8">
        <f>IFERROR(IF(G93&lt;=0,-1E+99,C93/G93),NA())</f>
        <v/>
      </c>
      <c r="I93" s="8">
        <f>IFERROR(MIN(4,INT((RANK.AVG(H93,$H$9:$H$185,1)-1)*5/COUNT($H$9:$H$185))),NA())</f>
        <v/>
      </c>
    </row>
    <row r="94">
      <c r="A94" s="6" t="inlineStr">
        <is>
          <t>A454910</t>
        </is>
      </c>
      <c r="B94" s="6" t="inlineStr">
        <is>
          <t>2026-03</t>
        </is>
      </c>
      <c r="C94" s="6" t="n">
        <v>-30460278100</v>
      </c>
      <c r="D94" s="6" t="n">
        <v>7143160000000</v>
      </c>
      <c r="E94" s="6" t="n">
        <v>16045396090</v>
      </c>
      <c r="F94" s="6" t="n">
        <v>247951000000</v>
      </c>
      <c r="G94" s="8">
        <f>D94+E94-F94</f>
        <v/>
      </c>
      <c r="H94" s="8">
        <f>IFERROR(IF(G94&lt;=0,-1E+99,C94/G94),NA())</f>
        <v/>
      </c>
      <c r="I94" s="8">
        <f>IFERROR(MIN(4,INT((RANK.AVG(H94,$H$9:$H$185,1)-1)*5/COUNT($H$9:$H$185))),NA())</f>
        <v/>
      </c>
    </row>
    <row r="95">
      <c r="A95" s="6" t="inlineStr">
        <is>
          <t>A007660</t>
        </is>
      </c>
      <c r="B95" s="6" t="inlineStr">
        <is>
          <t>2026-03</t>
        </is>
      </c>
      <c r="C95" s="6" t="n">
        <v>15289348680</v>
      </c>
      <c r="D95" s="6" t="n">
        <v>11033400000000</v>
      </c>
      <c r="E95" s="6" t="n">
        <v>240640000000</v>
      </c>
      <c r="F95" s="6" t="n">
        <v>563978000000</v>
      </c>
      <c r="G95" s="8">
        <f>D95+E95-F95</f>
        <v/>
      </c>
      <c r="H95" s="8">
        <f>IFERROR(IF(G95&lt;=0,-1E+99,C95/G95),NA())</f>
        <v/>
      </c>
      <c r="I95" s="8">
        <f>IFERROR(MIN(4,INT((RANK.AVG(H95,$H$9:$H$185,1)-1)*5/COUNT($H$9:$H$185))),NA())</f>
        <v/>
      </c>
    </row>
    <row r="96">
      <c r="A96" s="6" t="inlineStr">
        <is>
          <t>A011780</t>
        </is>
      </c>
      <c r="B96" s="6" t="inlineStr">
        <is>
          <t>2026-03</t>
        </is>
      </c>
      <c r="C96" s="6" t="n">
        <v>520906000000</v>
      </c>
      <c r="D96" s="6" t="n">
        <v>3688060000000</v>
      </c>
      <c r="E96" s="6" t="n">
        <v>1008050000000</v>
      </c>
      <c r="F96" s="6" t="n">
        <v>1882530000000</v>
      </c>
      <c r="G96" s="8">
        <f>D96+E96-F96</f>
        <v/>
      </c>
      <c r="H96" s="8">
        <f>IFERROR(IF(G96&lt;=0,-1E+99,C96/G96),NA())</f>
        <v/>
      </c>
      <c r="I96" s="8">
        <f>IFERROR(MIN(4,INT((RANK.AVG(H96,$H$9:$H$185,1)-1)*5/COUNT($H$9:$H$185))),NA())</f>
        <v/>
      </c>
    </row>
    <row r="97">
      <c r="A97" s="6" t="inlineStr">
        <is>
          <t>A004990</t>
        </is>
      </c>
      <c r="B97" s="6" t="inlineStr">
        <is>
          <t>2026-03</t>
        </is>
      </c>
      <c r="C97" s="6" t="n">
        <v>-154191000000</v>
      </c>
      <c r="D97" s="6" t="n">
        <v>3044730000000</v>
      </c>
      <c r="E97" s="6" t="n">
        <v>9493160000000</v>
      </c>
      <c r="F97" s="6" t="n">
        <v>3973940000000</v>
      </c>
      <c r="G97" s="8">
        <f>D97+E97-F97</f>
        <v/>
      </c>
      <c r="H97" s="8">
        <f>IFERROR(IF(G97&lt;=0,-1E+99,C97/G97),NA())</f>
        <v/>
      </c>
      <c r="I97" s="8">
        <f>IFERROR(MIN(4,INT((RANK.AVG(H97,$H$9:$H$185,1)-1)*5/COUNT($H$9:$H$185))),NA())</f>
        <v/>
      </c>
    </row>
    <row r="98">
      <c r="A98" s="6" t="inlineStr">
        <is>
          <t>A450080</t>
        </is>
      </c>
      <c r="B98" s="6" t="inlineStr">
        <is>
          <t>2026-03</t>
        </is>
      </c>
      <c r="C98" s="6" t="n">
        <v>-206294000000</v>
      </c>
      <c r="D98" s="6" t="n">
        <v>5665870000000</v>
      </c>
      <c r="E98" s="6" t="n">
        <v>516798000000</v>
      </c>
      <c r="F98" s="6" t="n">
        <v>98690899720</v>
      </c>
      <c r="G98" s="8">
        <f>D98+E98-F98</f>
        <v/>
      </c>
      <c r="H98" s="8">
        <f>IFERROR(IF(G98&lt;=0,-1E+99,C98/G98),NA())</f>
        <v/>
      </c>
      <c r="I98" s="8">
        <f>IFERROR(MIN(4,INT((RANK.AVG(H98,$H$9:$H$185,1)-1)*5/COUNT($H$9:$H$185))),NA())</f>
        <v/>
      </c>
    </row>
    <row r="99">
      <c r="A99" s="6" t="inlineStr">
        <is>
          <t>A017800</t>
        </is>
      </c>
      <c r="B99" s="6" t="inlineStr">
        <is>
          <t>2026-03</t>
        </is>
      </c>
      <c r="C99" s="6" t="n">
        <v>212683000000</v>
      </c>
      <c r="D99" s="6" t="n">
        <v>3858420000000</v>
      </c>
      <c r="E99" s="6" t="n">
        <v>1088130000000</v>
      </c>
      <c r="F99" s="6" t="n">
        <v>1106270000000</v>
      </c>
      <c r="G99" s="8">
        <f>D99+E99-F99</f>
        <v/>
      </c>
      <c r="H99" s="8">
        <f>IFERROR(IF(G99&lt;=0,-1E+99,C99/G99),NA())</f>
        <v/>
      </c>
      <c r="I99" s="8">
        <f>IFERROR(MIN(4,INT((RANK.AVG(H99,$H$9:$H$185,1)-1)*5/COUNT($H$9:$H$185))),NA())</f>
        <v/>
      </c>
    </row>
    <row r="100">
      <c r="A100" s="6" t="inlineStr">
        <is>
          <t>A001440</t>
        </is>
      </c>
      <c r="B100" s="6" t="inlineStr">
        <is>
          <t>2026-03</t>
        </is>
      </c>
      <c r="C100" s="6" t="n">
        <v>-326446000000</v>
      </c>
      <c r="D100" s="6" t="n">
        <v>10497000000000</v>
      </c>
      <c r="E100" s="6" t="n">
        <v>919665000000</v>
      </c>
      <c r="F100" s="6" t="n">
        <v>1537310000000</v>
      </c>
      <c r="G100" s="8">
        <f>D100+E100-F100</f>
        <v/>
      </c>
      <c r="H100" s="8">
        <f>IFERROR(IF(G100&lt;=0,-1E+99,C100/G100),NA())</f>
        <v/>
      </c>
      <c r="I100" s="8">
        <f>IFERROR(MIN(4,INT((RANK.AVG(H100,$H$9:$H$185,1)-1)*5/COUNT($H$9:$H$185))),NA())</f>
        <v/>
      </c>
    </row>
    <row r="101">
      <c r="A101" s="6" t="inlineStr">
        <is>
          <t>A383220</t>
        </is>
      </c>
      <c r="B101" s="6" t="inlineStr">
        <is>
          <t>2026-03</t>
        </is>
      </c>
      <c r="C101" s="6" t="n">
        <v>331220000000</v>
      </c>
      <c r="D101" s="6" t="n">
        <v>2562740000000</v>
      </c>
      <c r="E101" s="6" t="n">
        <v>380885000000</v>
      </c>
      <c r="F101" s="6" t="n">
        <v>538275000000</v>
      </c>
      <c r="G101" s="8">
        <f>D101+E101-F101</f>
        <v/>
      </c>
      <c r="H101" s="8">
        <f>IFERROR(IF(G101&lt;=0,-1E+99,C101/G101),NA())</f>
        <v/>
      </c>
      <c r="I101" s="8">
        <f>IFERROR(MIN(4,INT((RANK.AVG(H101,$H$9:$H$185,1)-1)*5/COUNT($H$9:$H$185))),NA())</f>
        <v/>
      </c>
    </row>
    <row r="102">
      <c r="A102" s="6" t="inlineStr">
        <is>
          <t>A002380</t>
        </is>
      </c>
      <c r="B102" s="6" t="inlineStr">
        <is>
          <t>2026-03</t>
        </is>
      </c>
      <c r="C102" s="6" t="n">
        <v>469572000000</v>
      </c>
      <c r="D102" s="6" t="n">
        <v>4931990000000</v>
      </c>
      <c r="E102" s="6" t="n">
        <v>5199270000000</v>
      </c>
      <c r="F102" s="6" t="n">
        <v>2450780000000</v>
      </c>
      <c r="G102" s="8">
        <f>D102+E102-F102</f>
        <v/>
      </c>
      <c r="H102" s="8">
        <f>IFERROR(IF(G102&lt;=0,-1E+99,C102/G102),NA())</f>
        <v/>
      </c>
      <c r="I102" s="8">
        <f>IFERROR(MIN(4,INT((RANK.AVG(H102,$H$9:$H$185,1)-1)*5/COUNT($H$9:$H$185))),NA())</f>
        <v/>
      </c>
    </row>
    <row r="103">
      <c r="A103" s="6" t="inlineStr">
        <is>
          <t>A011170</t>
        </is>
      </c>
      <c r="B103" s="6" t="inlineStr">
        <is>
          <t>2026-03</t>
        </is>
      </c>
      <c r="C103" s="6" t="n">
        <v>-1132370000000</v>
      </c>
      <c r="D103" s="6" t="n">
        <v>4872120000000</v>
      </c>
      <c r="E103" s="6" t="n">
        <v>9614460000000</v>
      </c>
      <c r="F103" s="6" t="n">
        <v>5062030000000</v>
      </c>
      <c r="G103" s="8">
        <f>D103+E103-F103</f>
        <v/>
      </c>
      <c r="H103" s="8">
        <f>IFERROR(IF(G103&lt;=0,-1E+99,C103/G103),NA())</f>
        <v/>
      </c>
      <c r="I103" s="8">
        <f>IFERROR(MIN(4,INT((RANK.AVG(H103,$H$9:$H$185,1)-1)*5/COUNT($H$9:$H$185))),NA())</f>
        <v/>
      </c>
    </row>
    <row r="104">
      <c r="A104" s="6" t="inlineStr">
        <is>
          <t>A052690</t>
        </is>
      </c>
      <c r="B104" s="6" t="inlineStr">
        <is>
          <t>2026-03</t>
        </is>
      </c>
      <c r="C104" s="6" t="n">
        <v>24741820080</v>
      </c>
      <c r="D104" s="6" t="n">
        <v>7208290000000</v>
      </c>
      <c r="E104" s="6" t="n">
        <v>1201160000</v>
      </c>
      <c r="F104" s="6" t="n">
        <v>410131000000</v>
      </c>
      <c r="G104" s="8">
        <f>D104+E104-F104</f>
        <v/>
      </c>
      <c r="H104" s="8">
        <f>IFERROR(IF(G104&lt;=0,-1E+99,C104/G104),NA())</f>
        <v/>
      </c>
      <c r="I104" s="8">
        <f>IFERROR(MIN(4,INT((RANK.AVG(H104,$H$9:$H$185,1)-1)*5/COUNT($H$9:$H$185))),NA())</f>
        <v/>
      </c>
    </row>
    <row r="105">
      <c r="A105" s="6" t="inlineStr">
        <is>
          <t>A192820</t>
        </is>
      </c>
      <c r="B105" s="6" t="inlineStr">
        <is>
          <t>2026-03</t>
        </is>
      </c>
      <c r="C105" s="6" t="n">
        <v>-100258000000</v>
      </c>
      <c r="D105" s="6" t="n">
        <v>2389070000000</v>
      </c>
      <c r="E105" s="6" t="n">
        <v>824666000000</v>
      </c>
      <c r="F105" s="6" t="n">
        <v>674683000000</v>
      </c>
      <c r="G105" s="8">
        <f>D105+E105-F105</f>
        <v/>
      </c>
      <c r="H105" s="8">
        <f>IFERROR(IF(G105&lt;=0,-1E+99,C105/G105),NA())</f>
        <v/>
      </c>
      <c r="I105" s="8">
        <f>IFERROR(MIN(4,INT((RANK.AVG(H105,$H$9:$H$185,1)-1)*5/COUNT($H$9:$H$185))),NA())</f>
        <v/>
      </c>
    </row>
    <row r="106">
      <c r="A106" s="6" t="inlineStr">
        <is>
          <t>A008930</t>
        </is>
      </c>
      <c r="B106" s="6" t="inlineStr">
        <is>
          <t>2026-03</t>
        </is>
      </c>
      <c r="C106" s="6" t="n">
        <v>28730174850</v>
      </c>
      <c r="D106" s="6" t="n">
        <v>2578360000000</v>
      </c>
      <c r="E106" s="6" t="n">
        <v>214531000000</v>
      </c>
      <c r="F106" s="6" t="n">
        <v>238967000000</v>
      </c>
      <c r="G106" s="8">
        <f>D106+E106-F106</f>
        <v/>
      </c>
      <c r="H106" s="8">
        <f>IFERROR(IF(G106&lt;=0,-1E+99,C106/G106),NA())</f>
        <v/>
      </c>
      <c r="I106" s="8">
        <f>IFERROR(MIN(4,INT((RANK.AVG(H106,$H$9:$H$185,1)-1)*5/COUNT($H$9:$H$185))),NA())</f>
        <v/>
      </c>
    </row>
    <row r="107">
      <c r="A107" s="6" t="inlineStr">
        <is>
          <t>A111770</t>
        </is>
      </c>
      <c r="B107" s="6" t="inlineStr">
        <is>
          <t>2026-03</t>
        </is>
      </c>
      <c r="C107" s="6" t="n">
        <v>151713000000</v>
      </c>
      <c r="D107" s="6" t="n">
        <v>3673420000000</v>
      </c>
      <c r="E107" s="6" t="n">
        <v>537685000000</v>
      </c>
      <c r="F107" s="6" t="n">
        <v>2419410000000</v>
      </c>
      <c r="G107" s="8">
        <f>D107+E107-F107</f>
        <v/>
      </c>
      <c r="H107" s="8">
        <f>IFERROR(IF(G107&lt;=0,-1E+99,C107/G107),NA())</f>
        <v/>
      </c>
      <c r="I107" s="8">
        <f>IFERROR(MIN(4,INT((RANK.AVG(H107,$H$9:$H$185,1)-1)*5/COUNT($H$9:$H$185))),NA())</f>
        <v/>
      </c>
    </row>
    <row r="108">
      <c r="A108" s="6" t="inlineStr">
        <is>
          <t>A026960</t>
        </is>
      </c>
      <c r="B108" s="6" t="inlineStr">
        <is>
          <t>2026-03</t>
        </is>
      </c>
      <c r="C108" s="6" t="n">
        <v>104108000000</v>
      </c>
      <c r="D108" s="6" t="n">
        <v>2661990000000</v>
      </c>
      <c r="E108" s="6" t="n">
        <v>2839098860</v>
      </c>
      <c r="F108" s="6" t="n">
        <v>726385000000</v>
      </c>
      <c r="G108" s="8">
        <f>D108+E108-F108</f>
        <v/>
      </c>
      <c r="H108" s="8">
        <f>IFERROR(IF(G108&lt;=0,-1E+99,C108/G108),NA())</f>
        <v/>
      </c>
      <c r="I108" s="8">
        <f>IFERROR(MIN(4,INT((RANK.AVG(H108,$H$9:$H$185,1)-1)*5/COUNT($H$9:$H$185))),NA())</f>
        <v/>
      </c>
    </row>
    <row r="109">
      <c r="A109" s="6" t="inlineStr">
        <is>
          <t>A012750</t>
        </is>
      </c>
      <c r="B109" s="6" t="inlineStr">
        <is>
          <t>2026-03</t>
        </is>
      </c>
      <c r="C109" s="6" t="n">
        <v>178510000000</v>
      </c>
      <c r="D109" s="6" t="n">
        <v>3271730000000</v>
      </c>
      <c r="E109" s="6" t="n">
        <v>55281401860</v>
      </c>
      <c r="F109" s="6" t="n">
        <v>535841000000</v>
      </c>
      <c r="G109" s="8">
        <f>D109+E109-F109</f>
        <v/>
      </c>
      <c r="H109" s="8">
        <f>IFERROR(IF(G109&lt;=0,-1E+99,C109/G109),NA())</f>
        <v/>
      </c>
      <c r="I109" s="8">
        <f>IFERROR(MIN(4,INT((RANK.AVG(H109,$H$9:$H$185,1)-1)*5/COUNT($H$9:$H$185))),NA())</f>
        <v/>
      </c>
    </row>
    <row r="110">
      <c r="A110" s="6" t="inlineStr">
        <is>
          <t>A004370</t>
        </is>
      </c>
      <c r="B110" s="6" t="inlineStr">
        <is>
          <t>2026-03</t>
        </is>
      </c>
      <c r="C110" s="6" t="n">
        <v>201108000000</v>
      </c>
      <c r="D110" s="6" t="n">
        <v>2296200000000</v>
      </c>
      <c r="E110" s="6" t="n">
        <v>176638000000</v>
      </c>
      <c r="F110" s="6" t="n">
        <v>1386740000000</v>
      </c>
      <c r="G110" s="8">
        <f>D110+E110-F110</f>
        <v/>
      </c>
      <c r="H110" s="8">
        <f>IFERROR(IF(G110&lt;=0,-1E+99,C110/G110),NA())</f>
        <v/>
      </c>
      <c r="I110" s="8">
        <f>IFERROR(MIN(4,INT((RANK.AVG(H110,$H$9:$H$185,1)-1)*5/COUNT($H$9:$H$185))),NA())</f>
        <v/>
      </c>
    </row>
    <row r="111">
      <c r="A111" s="6" t="inlineStr">
        <is>
          <t>A103140</t>
        </is>
      </c>
      <c r="B111" s="6" t="inlineStr">
        <is>
          <t>2026-03</t>
        </is>
      </c>
      <c r="C111" s="6" t="n">
        <v>-353193000000</v>
      </c>
      <c r="D111" s="6" t="n">
        <v>2780010000000</v>
      </c>
      <c r="E111" s="6" t="n">
        <v>1076180000000</v>
      </c>
      <c r="F111" s="6" t="n">
        <v>1131750000000</v>
      </c>
      <c r="G111" s="8">
        <f>D111+E111-F111</f>
        <v/>
      </c>
      <c r="H111" s="8">
        <f>IFERROR(IF(G111&lt;=0,-1E+99,C111/G111),NA())</f>
        <v/>
      </c>
      <c r="I111" s="8">
        <f>IFERROR(MIN(4,INT((RANK.AVG(H111,$H$9:$H$185,1)-1)*5/COUNT($H$9:$H$185))),NA())</f>
        <v/>
      </c>
    </row>
    <row r="112">
      <c r="A112" s="6" t="inlineStr">
        <is>
          <t>A082740</t>
        </is>
      </c>
      <c r="B112" s="6" t="inlineStr">
        <is>
          <t>2026-03</t>
        </is>
      </c>
      <c r="C112" s="6" t="n">
        <v>297029000000</v>
      </c>
      <c r="D112" s="6" t="n">
        <v>7343350000000</v>
      </c>
      <c r="E112" s="6" t="n">
        <v>62661456430</v>
      </c>
      <c r="F112" s="6" t="n">
        <v>675685000000</v>
      </c>
      <c r="G112" s="8">
        <f>D112+E112-F112</f>
        <v/>
      </c>
      <c r="H112" s="8">
        <f>IFERROR(IF(G112&lt;=0,-1E+99,C112/G112),NA())</f>
        <v/>
      </c>
      <c r="I112" s="8">
        <f>IFERROR(MIN(4,INT((RANK.AVG(H112,$H$9:$H$185,1)-1)*5/COUNT($H$9:$H$185))),NA())</f>
        <v/>
      </c>
    </row>
    <row r="113">
      <c r="A113" s="6" t="inlineStr">
        <is>
          <t>A139480</t>
        </is>
      </c>
      <c r="B113" s="6" t="inlineStr">
        <is>
          <t>2026-03</t>
        </is>
      </c>
      <c r="C113" s="6" t="n">
        <v>596265000000</v>
      </c>
      <c r="D113" s="6" t="n">
        <v>2944470000000</v>
      </c>
      <c r="E113" s="6" t="n">
        <v>11928200000000</v>
      </c>
      <c r="F113" s="6" t="n">
        <v>3866400000000</v>
      </c>
      <c r="G113" s="8">
        <f>D113+E113-F113</f>
        <v/>
      </c>
      <c r="H113" s="8">
        <f>IFERROR(IF(G113&lt;=0,-1E+99,C113/G113),NA())</f>
        <v/>
      </c>
      <c r="I113" s="8">
        <f>IFERROR(MIN(4,INT((RANK.AVG(H113,$H$9:$H$185,1)-1)*5/COUNT($H$9:$H$185))),NA())</f>
        <v/>
      </c>
    </row>
    <row r="114">
      <c r="A114" s="6" t="inlineStr">
        <is>
          <t>A002790</t>
        </is>
      </c>
      <c r="B114" s="6" t="inlineStr">
        <is>
          <t>2026-03</t>
        </is>
      </c>
      <c r="C114" s="6" t="n">
        <v>552854000000</v>
      </c>
      <c r="D114" s="6" t="n">
        <v>2129360000000</v>
      </c>
      <c r="E114" s="6" t="n">
        <v>345572000000</v>
      </c>
      <c r="F114" s="6" t="n">
        <v>1168690000000</v>
      </c>
      <c r="G114" s="8">
        <f>D114+E114-F114</f>
        <v/>
      </c>
      <c r="H114" s="8">
        <f>IFERROR(IF(G114&lt;=0,-1E+99,C114/G114),NA())</f>
        <v/>
      </c>
      <c r="I114" s="8">
        <f>IFERROR(MIN(4,INT((RANK.AVG(H114,$H$9:$H$185,1)-1)*5/COUNT($H$9:$H$185))),NA())</f>
        <v/>
      </c>
    </row>
    <row r="115">
      <c r="A115" s="6" t="inlineStr">
        <is>
          <t>A030000</t>
        </is>
      </c>
      <c r="B115" s="6" t="inlineStr">
        <is>
          <t>2026-03</t>
        </is>
      </c>
      <c r="C115" s="6" t="n">
        <v>182218000000</v>
      </c>
      <c r="D115" s="6" t="n">
        <v>2306580000000</v>
      </c>
      <c r="E115" s="6" t="n">
        <v>289608000000</v>
      </c>
      <c r="F115" s="6" t="n">
        <v>2834680000000</v>
      </c>
      <c r="G115" s="8">
        <f>D115+E115-F115</f>
        <v/>
      </c>
      <c r="H115" s="8">
        <f>IFERROR(IF(G115&lt;=0,-1E+99,C115/G115),NA())</f>
        <v/>
      </c>
      <c r="I115" s="8">
        <f>IFERROR(MIN(4,INT((RANK.AVG(H115,$H$9:$H$185,1)-1)*5/COUNT($H$9:$H$185))),NA())</f>
        <v/>
      </c>
    </row>
    <row r="116">
      <c r="A116" s="6" t="inlineStr">
        <is>
          <t>A023530</t>
        </is>
      </c>
      <c r="B116" s="6" t="inlineStr">
        <is>
          <t>2026-03</t>
        </is>
      </c>
      <c r="C116" s="6" t="n">
        <v>1071990000000</v>
      </c>
      <c r="D116" s="6" t="n">
        <v>3827470000000</v>
      </c>
      <c r="E116" s="6" t="n">
        <v>13801500000000</v>
      </c>
      <c r="F116" s="6" t="n">
        <v>3167550000000</v>
      </c>
      <c r="G116" s="8">
        <f>D116+E116-F116</f>
        <v/>
      </c>
      <c r="H116" s="8">
        <f>IFERROR(IF(G116&lt;=0,-1E+99,C116/G116),NA())</f>
        <v/>
      </c>
      <c r="I116" s="8">
        <f>IFERROR(MIN(4,INT((RANK.AVG(H116,$H$9:$H$185,1)-1)*5/COUNT($H$9:$H$185))),NA())</f>
        <v/>
      </c>
    </row>
    <row r="117">
      <c r="A117" s="6" t="inlineStr">
        <is>
          <t>A161890</t>
        </is>
      </c>
      <c r="B117" s="6" t="inlineStr">
        <is>
          <t>2026-03</t>
        </is>
      </c>
      <c r="C117" s="6" t="n">
        <v>127480000000</v>
      </c>
      <c r="D117" s="6" t="n">
        <v>2093770000000</v>
      </c>
      <c r="E117" s="6" t="n">
        <v>1231500000000</v>
      </c>
      <c r="F117" s="6" t="n">
        <v>684294000000</v>
      </c>
      <c r="G117" s="8">
        <f>D117+E117-F117</f>
        <v/>
      </c>
      <c r="H117" s="8">
        <f>IFERROR(IF(G117&lt;=0,-1E+99,C117/G117),NA())</f>
        <v/>
      </c>
      <c r="I117" s="8">
        <f>IFERROR(MIN(4,INT((RANK.AVG(H117,$H$9:$H$185,1)-1)*5/COUNT($H$9:$H$185))),NA())</f>
        <v/>
      </c>
    </row>
    <row r="118">
      <c r="A118" s="6" t="inlineStr">
        <is>
          <t>A112610</t>
        </is>
      </c>
      <c r="B118" s="6" t="inlineStr">
        <is>
          <t>2026-03</t>
        </is>
      </c>
      <c r="C118" s="6" t="n">
        <v>435129000000</v>
      </c>
      <c r="D118" s="6" t="n">
        <v>3019470000000</v>
      </c>
      <c r="E118" s="6" t="n">
        <v>1232530000000</v>
      </c>
      <c r="F118" s="6" t="n">
        <v>1139680000000</v>
      </c>
      <c r="G118" s="8">
        <f>D118+E118-F118</f>
        <v/>
      </c>
      <c r="H118" s="8">
        <f>IFERROR(IF(G118&lt;=0,-1E+99,C118/G118),NA())</f>
        <v/>
      </c>
      <c r="I118" s="8">
        <f>IFERROR(MIN(4,INT((RANK.AVG(H118,$H$9:$H$185,1)-1)*5/COUNT($H$9:$H$185))),NA())</f>
        <v/>
      </c>
    </row>
    <row r="119">
      <c r="A119" s="6" t="inlineStr">
        <is>
          <t>A081660</t>
        </is>
      </c>
      <c r="B119" s="6" t="inlineStr">
        <is>
          <t>2026-03</t>
        </is>
      </c>
      <c r="C119" s="6" t="n">
        <v>328019000000</v>
      </c>
      <c r="D119" s="6" t="n">
        <v>2155530000000</v>
      </c>
      <c r="E119" s="6" t="n">
        <v>1938200000000</v>
      </c>
      <c r="F119" s="6" t="n">
        <v>1307770000000</v>
      </c>
      <c r="G119" s="8">
        <f>D119+E119-F119</f>
        <v/>
      </c>
      <c r="H119" s="8">
        <f>IFERROR(IF(G119&lt;=0,-1E+99,C119/G119),NA())</f>
        <v/>
      </c>
      <c r="I119" s="8">
        <f>IFERROR(MIN(4,INT((RANK.AVG(H119,$H$9:$H$185,1)-1)*5/COUNT($H$9:$H$185))),NA())</f>
        <v/>
      </c>
    </row>
    <row r="120">
      <c r="A120" s="6" t="inlineStr">
        <is>
          <t>A018880</t>
        </is>
      </c>
      <c r="B120" s="6" t="inlineStr">
        <is>
          <t>2026-03</t>
        </is>
      </c>
      <c r="C120" s="6" t="n">
        <v>-180749000000</v>
      </c>
      <c r="D120" s="6" t="n">
        <v>4341090000000</v>
      </c>
      <c r="E120" s="6" t="n">
        <v>3859720000000</v>
      </c>
      <c r="F120" s="6" t="n">
        <v>2995320000000</v>
      </c>
      <c r="G120" s="8">
        <f>D120+E120-F120</f>
        <v/>
      </c>
      <c r="H120" s="8">
        <f>IFERROR(IF(G120&lt;=0,-1E+99,C120/G120),NA())</f>
        <v/>
      </c>
      <c r="I120" s="8">
        <f>IFERROR(MIN(4,INT((RANK.AVG(H120,$H$9:$H$185,1)-1)*5/COUNT($H$9:$H$185))),NA())</f>
        <v/>
      </c>
    </row>
    <row r="121">
      <c r="A121" s="6" t="inlineStr">
        <is>
          <t>A062040</t>
        </is>
      </c>
      <c r="B121" s="6" t="inlineStr">
        <is>
          <t>2026-03</t>
        </is>
      </c>
      <c r="C121" s="6" t="n">
        <v>100200000000</v>
      </c>
      <c r="D121" s="6" t="n">
        <v>8143820000000</v>
      </c>
      <c r="E121" s="6" t="n">
        <v>1197928000</v>
      </c>
      <c r="F121" s="6" t="n">
        <v>289800000000</v>
      </c>
      <c r="G121" s="8">
        <f>D121+E121-F121</f>
        <v/>
      </c>
      <c r="H121" s="8">
        <f>IFERROR(IF(G121&lt;=0,-1E+99,C121/G121),NA())</f>
        <v/>
      </c>
      <c r="I121" s="8">
        <f>IFERROR(MIN(4,INT((RANK.AVG(H121,$H$9:$H$185,1)-1)*5/COUNT($H$9:$H$185))),NA())</f>
        <v/>
      </c>
    </row>
    <row r="122">
      <c r="A122" s="6" t="inlineStr">
        <is>
          <t>A006360</t>
        </is>
      </c>
      <c r="B122" s="6" t="inlineStr">
        <is>
          <t>2026-03</t>
        </is>
      </c>
      <c r="C122" s="6" t="n">
        <v>365545000000</v>
      </c>
      <c r="D122" s="6" t="n">
        <v>3256380000000</v>
      </c>
      <c r="E122" s="6" t="n">
        <v>6423030000000</v>
      </c>
      <c r="F122" s="6" t="n">
        <v>6951290000000</v>
      </c>
      <c r="G122" s="8">
        <f>D122+E122-F122</f>
        <v/>
      </c>
      <c r="H122" s="8">
        <f>IFERROR(IF(G122&lt;=0,-1E+99,C122/G122),NA())</f>
        <v/>
      </c>
      <c r="I122" s="8">
        <f>IFERROR(MIN(4,INT((RANK.AVG(H122,$H$9:$H$185,1)-1)*5/COUNT($H$9:$H$185))),NA())</f>
        <v/>
      </c>
    </row>
    <row r="123">
      <c r="A123" s="6" t="inlineStr">
        <is>
          <t>A008770</t>
        </is>
      </c>
      <c r="B123" s="6" t="inlineStr">
        <is>
          <t>2026-03</t>
        </is>
      </c>
      <c r="C123" s="6" t="n">
        <v>50057283000</v>
      </c>
      <c r="D123" s="6" t="n">
        <v>2570750000000</v>
      </c>
      <c r="E123" s="6" t="n">
        <v>1683720000000</v>
      </c>
      <c r="F123" s="6" t="n">
        <v>874903000000</v>
      </c>
      <c r="G123" s="8">
        <f>D123+E123-F123</f>
        <v/>
      </c>
      <c r="H123" s="8">
        <f>IFERROR(IF(G123&lt;=0,-1E+99,C123/G123),NA())</f>
        <v/>
      </c>
      <c r="I123" s="8">
        <f>IFERROR(MIN(4,INT((RANK.AVG(H123,$H$9:$H$185,1)-1)*5/COUNT($H$9:$H$185))),NA())</f>
        <v/>
      </c>
    </row>
    <row r="124">
      <c r="A124" s="6" t="inlineStr">
        <is>
          <t>A282330</t>
        </is>
      </c>
      <c r="B124" s="6" t="inlineStr">
        <is>
          <t>2026-03</t>
        </is>
      </c>
      <c r="C124" s="6" t="n">
        <v>529354000000</v>
      </c>
      <c r="D124" s="6" t="n">
        <v>2281480000000</v>
      </c>
      <c r="E124" s="6" t="n">
        <v>843581000000</v>
      </c>
      <c r="F124" s="6" t="n">
        <v>964741000000</v>
      </c>
      <c r="G124" s="8">
        <f>D124+E124-F124</f>
        <v/>
      </c>
      <c r="H124" s="8">
        <f>IFERROR(IF(G124&lt;=0,-1E+99,C124/G124),NA())</f>
        <v/>
      </c>
      <c r="I124" s="8">
        <f>IFERROR(MIN(4,INT((RANK.AVG(H124,$H$9:$H$185,1)-1)*5/COUNT($H$9:$H$185))),NA())</f>
        <v/>
      </c>
    </row>
    <row r="125">
      <c r="A125" s="6" t="inlineStr">
        <is>
          <t>A028670</t>
        </is>
      </c>
      <c r="B125" s="6" t="inlineStr">
        <is>
          <t>2026-03</t>
        </is>
      </c>
      <c r="C125" s="6" t="n">
        <v>481083000000</v>
      </c>
      <c r="D125" s="6" t="n">
        <v>2961520000000</v>
      </c>
      <c r="E125" s="6" t="n">
        <v>4486280000000</v>
      </c>
      <c r="F125" s="6" t="n">
        <v>1588410000000</v>
      </c>
      <c r="G125" s="8">
        <f>D125+E125-F125</f>
        <v/>
      </c>
      <c r="H125" s="8">
        <f>IFERROR(IF(G125&lt;=0,-1E+99,C125/G125),NA())</f>
        <v/>
      </c>
      <c r="I125" s="8">
        <f>IFERROR(MIN(4,INT((RANK.AVG(H125,$H$9:$H$185,1)-1)*5/COUNT($H$9:$H$185))),NA())</f>
        <v/>
      </c>
    </row>
    <row r="126">
      <c r="A126" s="6" t="inlineStr">
        <is>
          <t>A000120</t>
        </is>
      </c>
      <c r="B126" s="6" t="inlineStr">
        <is>
          <t>2026-03</t>
        </is>
      </c>
      <c r="C126" s="6" t="n">
        <v>328405000000</v>
      </c>
      <c r="D126" s="6" t="n">
        <v>2306330000000</v>
      </c>
      <c r="E126" s="6" t="n">
        <v>3868360000000</v>
      </c>
      <c r="F126" s="6" t="n">
        <v>2392420000000</v>
      </c>
      <c r="G126" s="8">
        <f>D126+E126-F126</f>
        <v/>
      </c>
      <c r="H126" s="8">
        <f>IFERROR(IF(G126&lt;=0,-1E+99,C126/G126),NA())</f>
        <v/>
      </c>
      <c r="I126" s="8">
        <f>IFERROR(MIN(4,INT((RANK.AVG(H126,$H$9:$H$185,1)-1)*5/COUNT($H$9:$H$185))),NA())</f>
        <v/>
      </c>
    </row>
    <row r="127">
      <c r="A127" s="6" t="inlineStr">
        <is>
          <t>A051600</t>
        </is>
      </c>
      <c r="B127" s="6" t="inlineStr">
        <is>
          <t>2026-03</t>
        </is>
      </c>
      <c r="C127" s="6" t="n">
        <v>73925067400</v>
      </c>
      <c r="D127" s="6" t="n">
        <v>2799000000000</v>
      </c>
      <c r="E127" s="6" t="n">
        <v>14666305000</v>
      </c>
      <c r="F127" s="6" t="n">
        <v>981193000000</v>
      </c>
      <c r="G127" s="8">
        <f>D127+E127-F127</f>
        <v/>
      </c>
      <c r="H127" s="8">
        <f>IFERROR(IF(G127&lt;=0,-1E+99,C127/G127),NA())</f>
        <v/>
      </c>
      <c r="I127" s="8">
        <f>IFERROR(MIN(4,INT((RANK.AVG(H127,$H$9:$H$185,1)-1)*5/COUNT($H$9:$H$185))),NA())</f>
        <v/>
      </c>
    </row>
    <row r="128">
      <c r="A128" s="6" t="inlineStr">
        <is>
          <t>A375500</t>
        </is>
      </c>
      <c r="B128" s="6" t="inlineStr">
        <is>
          <t>2026-03</t>
        </is>
      </c>
      <c r="C128" s="6" t="n">
        <v>215129000000</v>
      </c>
      <c r="D128" s="6" t="n">
        <v>3830670000000</v>
      </c>
      <c r="E128" s="6" t="n">
        <v>1075840000000</v>
      </c>
      <c r="F128" s="6" t="n">
        <v>4099110000000</v>
      </c>
      <c r="G128" s="8">
        <f>D128+E128-F128</f>
        <v/>
      </c>
      <c r="H128" s="8">
        <f>IFERROR(IF(G128&lt;=0,-1E+99,C128/G128),NA())</f>
        <v/>
      </c>
      <c r="I128" s="8">
        <f>IFERROR(MIN(4,INT((RANK.AVG(H128,$H$9:$H$185,1)-1)*5/COUNT($H$9:$H$185))),NA())</f>
        <v/>
      </c>
    </row>
    <row r="129">
      <c r="A129" s="6" t="inlineStr">
        <is>
          <t>A006040</t>
        </is>
      </c>
      <c r="B129" s="6" t="inlineStr">
        <is>
          <t>2026-03</t>
        </is>
      </c>
      <c r="C129" s="6" t="n">
        <v>98646244830</v>
      </c>
      <c r="D129" s="6" t="n">
        <v>1701900000000</v>
      </c>
      <c r="E129" s="6" t="n">
        <v>2771600000000</v>
      </c>
      <c r="F129" s="6" t="n">
        <v>2003400000000</v>
      </c>
      <c r="G129" s="8">
        <f>D129+E129-F129</f>
        <v/>
      </c>
      <c r="H129" s="8">
        <f>IFERROR(IF(G129&lt;=0,-1E+99,C129/G129),NA())</f>
        <v/>
      </c>
      <c r="I129" s="8">
        <f>IFERROR(MIN(4,INT((RANK.AVG(H129,$H$9:$H$185,1)-1)*5/COUNT($H$9:$H$185))),NA())</f>
        <v/>
      </c>
    </row>
    <row r="130">
      <c r="A130" s="6" t="inlineStr">
        <is>
          <t>A069620</t>
        </is>
      </c>
      <c r="B130" s="6" t="inlineStr">
        <is>
          <t>2026-03</t>
        </is>
      </c>
      <c r="C130" s="6" t="n">
        <v>-42328660350</v>
      </c>
      <c r="D130" s="6" t="n">
        <v>1718290000000</v>
      </c>
      <c r="E130" s="6" t="n">
        <v>829390000000</v>
      </c>
      <c r="F130" s="6" t="n">
        <v>418472000000</v>
      </c>
      <c r="G130" s="8">
        <f>D130+E130-F130</f>
        <v/>
      </c>
      <c r="H130" s="8">
        <f>IFERROR(IF(G130&lt;=0,-1E+99,C130/G130),NA())</f>
        <v/>
      </c>
      <c r="I130" s="8">
        <f>IFERROR(MIN(4,INT((RANK.AVG(H130,$H$9:$H$185,1)-1)*5/COUNT($H$9:$H$185))),NA())</f>
        <v/>
      </c>
    </row>
    <row r="131">
      <c r="A131" s="6" t="inlineStr">
        <is>
          <t>A047040</t>
        </is>
      </c>
      <c r="B131" s="6" t="inlineStr">
        <is>
          <t>2026-03</t>
        </is>
      </c>
      <c r="C131" s="6" t="n">
        <v>362611000000</v>
      </c>
      <c r="D131" s="6" t="n">
        <v>14381800000000</v>
      </c>
      <c r="E131" s="6" t="n">
        <v>4084170000000</v>
      </c>
      <c r="F131" s="6" t="n">
        <v>7450600000000</v>
      </c>
      <c r="G131" s="8">
        <f>D131+E131-F131</f>
        <v/>
      </c>
      <c r="H131" s="8">
        <f>IFERROR(IF(G131&lt;=0,-1E+99,C131/G131),NA())</f>
        <v/>
      </c>
      <c r="I131" s="8">
        <f>IFERROR(MIN(4,INT((RANK.AVG(H131,$H$9:$H$185,1)-1)*5/COUNT($H$9:$H$185))),NA())</f>
        <v/>
      </c>
    </row>
    <row r="132">
      <c r="A132" s="6" t="inlineStr">
        <is>
          <t>A066970</t>
        </is>
      </c>
      <c r="B132" s="6" t="inlineStr">
        <is>
          <t>2026-03</t>
        </is>
      </c>
      <c r="C132" s="6" t="n">
        <v>-166559000000</v>
      </c>
      <c r="D132" s="6" t="n">
        <v>7875370000000</v>
      </c>
      <c r="E132" s="6" t="n">
        <v>1761540000000</v>
      </c>
      <c r="F132" s="6" t="n">
        <v>750604000000</v>
      </c>
      <c r="G132" s="8">
        <f>D132+E132-F132</f>
        <v/>
      </c>
      <c r="H132" s="8">
        <f>IFERROR(IF(G132&lt;=0,-1E+99,C132/G132),NA())</f>
        <v/>
      </c>
      <c r="I132" s="8">
        <f>IFERROR(MIN(4,INT((RANK.AVG(H132,$H$9:$H$185,1)-1)*5/COUNT($H$9:$H$185))),NA())</f>
        <v/>
      </c>
    </row>
    <row r="133">
      <c r="A133" s="6" t="inlineStr">
        <is>
          <t>A014680</t>
        </is>
      </c>
      <c r="B133" s="6" t="inlineStr">
        <is>
          <t>2026-03</t>
        </is>
      </c>
      <c r="C133" s="6" t="n">
        <v>116868000000</v>
      </c>
      <c r="D133" s="6" t="n">
        <v>3240510000000</v>
      </c>
      <c r="E133" s="6" t="n">
        <v>287466000000</v>
      </c>
      <c r="F133" s="6" t="n">
        <v>265207000000</v>
      </c>
      <c r="G133" s="8">
        <f>D133+E133-F133</f>
        <v/>
      </c>
      <c r="H133" s="8">
        <f>IFERROR(IF(G133&lt;=0,-1E+99,C133/G133),NA())</f>
        <v/>
      </c>
      <c r="I133" s="8">
        <f>IFERROR(MIN(4,INT((RANK.AVG(H133,$H$9:$H$185,1)-1)*5/COUNT($H$9:$H$185))),NA())</f>
        <v/>
      </c>
    </row>
    <row r="134">
      <c r="A134" s="6" t="inlineStr">
        <is>
          <t>A000240</t>
        </is>
      </c>
      <c r="B134" s="6" t="inlineStr">
        <is>
          <t>2026-03</t>
        </is>
      </c>
      <c r="C134" s="6" t="n">
        <v>208975000000</v>
      </c>
      <c r="D134" s="6" t="n">
        <v>2368630000000</v>
      </c>
      <c r="E134" s="6" t="n">
        <v>98907118000</v>
      </c>
      <c r="F134" s="6" t="n">
        <v>362142000000</v>
      </c>
      <c r="G134" s="8">
        <f>D134+E134-F134</f>
        <v/>
      </c>
      <c r="H134" s="8">
        <f>IFERROR(IF(G134&lt;=0,-1E+99,C134/G134),NA())</f>
        <v/>
      </c>
      <c r="I134" s="8">
        <f>IFERROR(MIN(4,INT((RANK.AVG(H134,$H$9:$H$185,1)-1)*5/COUNT($H$9:$H$185))),NA())</f>
        <v/>
      </c>
    </row>
    <row r="135">
      <c r="A135" s="6" t="inlineStr">
        <is>
          <t>A009970</t>
        </is>
      </c>
      <c r="B135" s="6" t="inlineStr">
        <is>
          <t>2026-03</t>
        </is>
      </c>
      <c r="C135" s="6" t="n">
        <v>291086000000</v>
      </c>
      <c r="D135" s="6" t="n">
        <v>2807840000000</v>
      </c>
      <c r="E135" s="6" t="n">
        <v>484906000000</v>
      </c>
      <c r="F135" s="6" t="n">
        <v>3119320000000</v>
      </c>
      <c r="G135" s="8">
        <f>D135+E135-F135</f>
        <v/>
      </c>
      <c r="H135" s="8">
        <f>IFERROR(IF(G135&lt;=0,-1E+99,C135/G135),NA())</f>
        <v/>
      </c>
      <c r="I135" s="8">
        <f>IFERROR(MIN(4,INT((RANK.AVG(H135,$H$9:$H$185,1)-1)*5/COUNT($H$9:$H$185))),NA())</f>
        <v/>
      </c>
    </row>
    <row r="136">
      <c r="A136" s="6" t="inlineStr">
        <is>
          <t>A004170</t>
        </is>
      </c>
      <c r="B136" s="6" t="inlineStr">
        <is>
          <t>2026-03</t>
        </is>
      </c>
      <c r="C136" s="6" t="n">
        <v>499732000000</v>
      </c>
      <c r="D136" s="6" t="n">
        <v>3844190000000</v>
      </c>
      <c r="E136" s="6" t="n">
        <v>5334900000000</v>
      </c>
      <c r="F136" s="6" t="n">
        <v>1832640000000</v>
      </c>
      <c r="G136" s="8">
        <f>D136+E136-F136</f>
        <v/>
      </c>
      <c r="H136" s="8">
        <f>IFERROR(IF(G136&lt;=0,-1E+99,C136/G136),NA())</f>
        <v/>
      </c>
      <c r="I136" s="8">
        <f>IFERROR(MIN(4,INT((RANK.AVG(H136,$H$9:$H$185,1)-1)*5/COUNT($H$9:$H$185))),NA())</f>
        <v/>
      </c>
    </row>
    <row r="137">
      <c r="A137" s="6" t="inlineStr">
        <is>
          <t>A361610</t>
        </is>
      </c>
      <c r="B137" s="6" t="inlineStr">
        <is>
          <t>2026-03</t>
        </is>
      </c>
      <c r="C137" s="6" t="n">
        <v>-154810000000</v>
      </c>
      <c r="D137" s="6" t="n">
        <v>2159180000000</v>
      </c>
      <c r="E137" s="6" t="n">
        <v>1691420000000</v>
      </c>
      <c r="F137" s="6" t="n">
        <v>506420000000</v>
      </c>
      <c r="G137" s="8">
        <f>D137+E137-F137</f>
        <v/>
      </c>
      <c r="H137" s="8">
        <f>IFERROR(IF(G137&lt;=0,-1E+99,C137/G137),NA())</f>
        <v/>
      </c>
      <c r="I137" s="8">
        <f>IFERROR(MIN(4,INT((RANK.AVG(H137,$H$9:$H$185,1)-1)*5/COUNT($H$9:$H$185))),NA())</f>
        <v/>
      </c>
    </row>
    <row r="138">
      <c r="A138" s="6" t="inlineStr">
        <is>
          <t>A069960</t>
        </is>
      </c>
      <c r="B138" s="6" t="inlineStr">
        <is>
          <t>2026-03</t>
        </is>
      </c>
      <c r="C138" s="6" t="n">
        <v>406872000000</v>
      </c>
      <c r="D138" s="6" t="n">
        <v>2464280000000</v>
      </c>
      <c r="E138" s="6" t="n">
        <v>2552340000000</v>
      </c>
      <c r="F138" s="6" t="n">
        <v>1297540000000</v>
      </c>
      <c r="G138" s="8">
        <f>D138+E138-F138</f>
        <v/>
      </c>
      <c r="H138" s="8">
        <f>IFERROR(IF(G138&lt;=0,-1E+99,C138/G138),NA())</f>
        <v/>
      </c>
      <c r="I138" s="8">
        <f>IFERROR(MIN(4,INT((RANK.AVG(H138,$H$9:$H$185,1)-1)*5/COUNT($H$9:$H$185))),NA())</f>
        <v/>
      </c>
    </row>
    <row r="139">
      <c r="A139" s="6" t="inlineStr">
        <is>
          <t>A204320</t>
        </is>
      </c>
      <c r="B139" s="6" t="inlineStr">
        <is>
          <t>2026-03</t>
        </is>
      </c>
      <c r="C139" s="6" t="n">
        <v>377090000000</v>
      </c>
      <c r="D139" s="6" t="n">
        <v>2681250000000</v>
      </c>
      <c r="E139" s="6" t="n">
        <v>2037460000000</v>
      </c>
      <c r="F139" s="6" t="n">
        <v>2909540000000</v>
      </c>
      <c r="G139" s="8">
        <f>D139+E139-F139</f>
        <v/>
      </c>
      <c r="H139" s="8">
        <f>IFERROR(IF(G139&lt;=0,-1E+99,C139/G139),NA())</f>
        <v/>
      </c>
      <c r="I139" s="8">
        <f>IFERROR(MIN(4,INT((RANK.AVG(H139,$H$9:$H$185,1)-1)*5/COUNT($H$9:$H$185))),NA())</f>
        <v/>
      </c>
    </row>
    <row r="140">
      <c r="A140" s="6" t="inlineStr">
        <is>
          <t>A007310</t>
        </is>
      </c>
      <c r="B140" s="6" t="inlineStr">
        <is>
          <t>2026-03</t>
        </is>
      </c>
      <c r="C140" s="6" t="n">
        <v>35970703120</v>
      </c>
      <c r="D140" s="6" t="n">
        <v>1464860000000</v>
      </c>
      <c r="E140" s="6" t="n">
        <v>861100000000</v>
      </c>
      <c r="F140" s="6" t="n">
        <v>726973000000</v>
      </c>
      <c r="G140" s="8">
        <f>D140+E140-F140</f>
        <v/>
      </c>
      <c r="H140" s="8">
        <f>IFERROR(IF(G140&lt;=0,-1E+99,C140/G140),NA())</f>
        <v/>
      </c>
      <c r="I140" s="8">
        <f>IFERROR(MIN(4,INT((RANK.AVG(H140,$H$9:$H$185,1)-1)*5/COUNT($H$9:$H$185))),NA())</f>
        <v/>
      </c>
    </row>
    <row r="141">
      <c r="A141" s="6" t="inlineStr">
        <is>
          <t>A006280</t>
        </is>
      </c>
      <c r="B141" s="6" t="inlineStr">
        <is>
          <t>2026-03</t>
        </is>
      </c>
      <c r="C141" s="6" t="n">
        <v>27100702140</v>
      </c>
      <c r="D141" s="6" t="n">
        <v>1602220000000</v>
      </c>
      <c r="E141" s="6" t="n">
        <v>982144000000</v>
      </c>
      <c r="F141" s="6" t="n">
        <v>477233000000</v>
      </c>
      <c r="G141" s="8">
        <f>D141+E141-F141</f>
        <v/>
      </c>
      <c r="H141" s="8">
        <f>IFERROR(IF(G141&lt;=0,-1E+99,C141/G141),NA())</f>
        <v/>
      </c>
      <c r="I141" s="8">
        <f>IFERROR(MIN(4,INT((RANK.AVG(H141,$H$9:$H$185,1)-1)*5/COUNT($H$9:$H$185))),NA())</f>
        <v/>
      </c>
    </row>
    <row r="142">
      <c r="A142" s="6" t="inlineStr">
        <is>
          <t>A003090</t>
        </is>
      </c>
      <c r="B142" s="6" t="inlineStr">
        <is>
          <t>2026-03</t>
        </is>
      </c>
      <c r="C142" s="6" t="n">
        <v>-37217614660</v>
      </c>
      <c r="D142" s="6" t="n">
        <v>1311100000000</v>
      </c>
      <c r="E142" s="6" t="n">
        <v>878215000000</v>
      </c>
      <c r="F142" s="6" t="n">
        <v>580637000000</v>
      </c>
      <c r="G142" s="8">
        <f>D142+E142-F142</f>
        <v/>
      </c>
      <c r="H142" s="8">
        <f>IFERROR(IF(G142&lt;=0,-1E+99,C142/G142),NA())</f>
        <v/>
      </c>
      <c r="I142" s="8">
        <f>IFERROR(MIN(4,INT((RANK.AVG(H142,$H$9:$H$185,1)-1)*5/COUNT($H$9:$H$185))),NA())</f>
        <v/>
      </c>
    </row>
    <row r="143">
      <c r="A143" s="6" t="inlineStr">
        <is>
          <t>A010060</t>
        </is>
      </c>
      <c r="B143" s="6" t="inlineStr">
        <is>
          <t>2026-03</t>
        </is>
      </c>
      <c r="C143" s="6" t="n">
        <v>183034000000</v>
      </c>
      <c r="D143" s="6" t="n">
        <v>6870650000000</v>
      </c>
      <c r="E143" s="6" t="n">
        <v>1944550000000</v>
      </c>
      <c r="F143" s="6" t="n">
        <v>1648530000000</v>
      </c>
      <c r="G143" s="8">
        <f>D143+E143-F143</f>
        <v/>
      </c>
      <c r="H143" s="8">
        <f>IFERROR(IF(G143&lt;=0,-1E+99,C143/G143),NA())</f>
        <v/>
      </c>
      <c r="I143" s="8">
        <f>IFERROR(MIN(4,INT((RANK.AVG(H143,$H$9:$H$185,1)-1)*5/COUNT($H$9:$H$185))),NA())</f>
        <v/>
      </c>
    </row>
    <row r="144">
      <c r="A144" s="6" t="inlineStr">
        <is>
          <t>A005850</t>
        </is>
      </c>
      <c r="B144" s="6" t="inlineStr">
        <is>
          <t>2026-03</t>
        </is>
      </c>
      <c r="C144" s="6" t="n">
        <v>320139000000</v>
      </c>
      <c r="D144" s="6" t="n">
        <v>2921610000000</v>
      </c>
      <c r="E144" s="6" t="n">
        <v>308049000000</v>
      </c>
      <c r="F144" s="6" t="n">
        <v>1802300000000</v>
      </c>
      <c r="G144" s="8">
        <f>D144+E144-F144</f>
        <v/>
      </c>
      <c r="H144" s="8">
        <f>IFERROR(IF(G144&lt;=0,-1E+99,C144/G144),NA())</f>
        <v/>
      </c>
      <c r="I144" s="8">
        <f>IFERROR(MIN(4,INT((RANK.AVG(H144,$H$9:$H$185,1)-1)*5/COUNT($H$9:$H$185))),NA())</f>
        <v/>
      </c>
    </row>
    <row r="145">
      <c r="A145" s="6" t="inlineStr">
        <is>
          <t>A071970</t>
        </is>
      </c>
      <c r="B145" s="6" t="inlineStr">
        <is>
          <t>2026-03</t>
        </is>
      </c>
      <c r="C145" s="6" t="n">
        <v>167509000000</v>
      </c>
      <c r="D145" s="6" t="n">
        <v>3588890000000</v>
      </c>
      <c r="E145" s="6" t="n">
        <v>1800375000</v>
      </c>
      <c r="F145" s="6" t="n">
        <v>399205000000</v>
      </c>
      <c r="G145" s="8">
        <f>D145+E145-F145</f>
        <v/>
      </c>
      <c r="H145" s="8">
        <f>IFERROR(IF(G145&lt;=0,-1E+99,C145/G145),NA())</f>
        <v/>
      </c>
      <c r="I145" s="8">
        <f>IFERROR(MIN(4,INT((RANK.AVG(H145,$H$9:$H$185,1)-1)*5/COUNT($H$9:$H$185))),NA())</f>
        <v/>
      </c>
    </row>
    <row r="146">
      <c r="A146" s="6" t="inlineStr">
        <is>
          <t>A000080</t>
        </is>
      </c>
      <c r="B146" s="6" t="inlineStr">
        <is>
          <t>2026-03</t>
        </is>
      </c>
      <c r="C146" s="6" t="n">
        <v>87322807570</v>
      </c>
      <c r="D146" s="6" t="n">
        <v>1199990000000</v>
      </c>
      <c r="E146" s="6" t="n">
        <v>1051440000000</v>
      </c>
      <c r="F146" s="6" t="n">
        <v>677649000000</v>
      </c>
      <c r="G146" s="8">
        <f>D146+E146-F146</f>
        <v/>
      </c>
      <c r="H146" s="8">
        <f>IFERROR(IF(G146&lt;=0,-1E+99,C146/G146),NA())</f>
        <v/>
      </c>
      <c r="I146" s="8">
        <f>IFERROR(MIN(4,INT((RANK.AVG(H146,$H$9:$H$185,1)-1)*5/COUNT($H$9:$H$185))),NA())</f>
        <v/>
      </c>
    </row>
    <row r="147">
      <c r="A147" s="6" t="inlineStr">
        <is>
          <t>A007070</t>
        </is>
      </c>
      <c r="B147" s="6" t="inlineStr">
        <is>
          <t>2026-03</t>
        </is>
      </c>
      <c r="C147" s="6" t="n">
        <v>708213000000</v>
      </c>
      <c r="D147" s="6" t="n">
        <v>1964770000000</v>
      </c>
      <c r="E147" s="6" t="n">
        <v>2628440000000</v>
      </c>
      <c r="F147" s="6" t="n">
        <v>1320620000000</v>
      </c>
      <c r="G147" s="8">
        <f>D147+E147-F147</f>
        <v/>
      </c>
      <c r="H147" s="8">
        <f>IFERROR(IF(G147&lt;=0,-1E+99,C147/G147),NA())</f>
        <v/>
      </c>
      <c r="I147" s="8">
        <f>IFERROR(MIN(4,INT((RANK.AVG(H147,$H$9:$H$185,1)-1)*5/COUNT($H$9:$H$185))),NA())</f>
        <v/>
      </c>
    </row>
    <row r="148">
      <c r="A148" s="6" t="inlineStr">
        <is>
          <t>A137310</t>
        </is>
      </c>
      <c r="B148" s="6" t="inlineStr">
        <is>
          <t>2026-03</t>
        </is>
      </c>
      <c r="C148" s="6" t="n">
        <v>300431000000</v>
      </c>
      <c r="D148" s="6" t="n">
        <v>1016710000000</v>
      </c>
      <c r="E148" s="6" t="n">
        <v>669028000000</v>
      </c>
      <c r="F148" s="6" t="n">
        <v>752148000000</v>
      </c>
      <c r="G148" s="8">
        <f>D148+E148-F148</f>
        <v/>
      </c>
      <c r="H148" s="8">
        <f>IFERROR(IF(G148&lt;=0,-1E+99,C148/G148),NA())</f>
        <v/>
      </c>
      <c r="I148" s="8">
        <f>IFERROR(MIN(4,INT((RANK.AVG(H148,$H$9:$H$185,1)-1)*5/COUNT($H$9:$H$185))),NA())</f>
        <v/>
      </c>
    </row>
    <row r="149">
      <c r="A149" s="6" t="inlineStr">
        <is>
          <t>A009420</t>
        </is>
      </c>
      <c r="B149" s="6" t="inlineStr">
        <is>
          <t>2026-03</t>
        </is>
      </c>
      <c r="C149" s="6" t="n">
        <v>-3288353790</v>
      </c>
      <c r="D149" s="6" t="n">
        <v>2476210000000</v>
      </c>
      <c r="E149" s="6" t="n">
        <v>31916888620</v>
      </c>
      <c r="F149" s="6" t="n">
        <v>46620609850</v>
      </c>
      <c r="G149" s="8">
        <f>D149+E149-F149</f>
        <v/>
      </c>
      <c r="H149" s="8">
        <f>IFERROR(IF(G149&lt;=0,-1E+99,C149/G149),NA())</f>
        <v/>
      </c>
      <c r="I149" s="8">
        <f>IFERROR(MIN(4,INT((RANK.AVG(H149,$H$9:$H$185,1)-1)*5/COUNT($H$9:$H$185))),NA())</f>
        <v/>
      </c>
    </row>
    <row r="150">
      <c r="A150" s="6" t="inlineStr">
        <is>
          <t>A001800</t>
        </is>
      </c>
      <c r="B150" s="6" t="inlineStr">
        <is>
          <t>2026-03</t>
        </is>
      </c>
      <c r="C150" s="6" t="n">
        <v>355265000000</v>
      </c>
      <c r="D150" s="6" t="n">
        <v>1619380000000</v>
      </c>
      <c r="E150" s="6" t="n">
        <v>224194000000</v>
      </c>
      <c r="F150" s="6" t="n">
        <v>1648650000000</v>
      </c>
      <c r="G150" s="8">
        <f>D150+E150-F150</f>
        <v/>
      </c>
      <c r="H150" s="8">
        <f>IFERROR(IF(G150&lt;=0,-1E+99,C150/G150),NA())</f>
        <v/>
      </c>
      <c r="I150" s="8">
        <f>IFERROR(MIN(4,INT((RANK.AVG(H150,$H$9:$H$185,1)-1)*5/COUNT($H$9:$H$185))),NA())</f>
        <v/>
      </c>
    </row>
    <row r="151">
      <c r="A151" s="6" t="inlineStr">
        <is>
          <t>A007340</t>
        </is>
      </c>
      <c r="B151" s="6" t="inlineStr">
        <is>
          <t>2026-03</t>
        </is>
      </c>
      <c r="C151" s="6" t="n">
        <v>91645366000</v>
      </c>
      <c r="D151" s="6" t="n">
        <v>2811450000000</v>
      </c>
      <c r="E151" s="6" t="n">
        <v>2055640000000</v>
      </c>
      <c r="F151" s="6" t="n">
        <v>1278500000000</v>
      </c>
      <c r="G151" s="8">
        <f>D151+E151-F151</f>
        <v/>
      </c>
      <c r="H151" s="8">
        <f>IFERROR(IF(G151&lt;=0,-1E+99,C151/G151),NA())</f>
        <v/>
      </c>
      <c r="I151" s="8">
        <f>IFERROR(MIN(4,INT((RANK.AVG(H151,$H$9:$H$185,1)-1)*5/COUNT($H$9:$H$185))),NA())</f>
        <v/>
      </c>
    </row>
    <row r="152">
      <c r="A152" s="6" t="inlineStr">
        <is>
          <t>A300720</t>
        </is>
      </c>
      <c r="B152" s="6" t="inlineStr">
        <is>
          <t>2026-03</t>
        </is>
      </c>
      <c r="C152" s="6" t="n">
        <v>6175403600</v>
      </c>
      <c r="D152" s="6" t="n">
        <v>1283360000000</v>
      </c>
      <c r="E152" s="6" t="n">
        <v>796837000000</v>
      </c>
      <c r="F152" s="6" t="n">
        <v>576832000000</v>
      </c>
      <c r="G152" s="8">
        <f>D152+E152-F152</f>
        <v/>
      </c>
      <c r="H152" s="8">
        <f>IFERROR(IF(G152&lt;=0,-1E+99,C152/G152),NA())</f>
        <v/>
      </c>
      <c r="I152" s="8">
        <f>IFERROR(MIN(4,INT((RANK.AVG(H152,$H$9:$H$185,1)-1)*5/COUNT($H$9:$H$185))),NA())</f>
        <v/>
      </c>
    </row>
    <row r="153">
      <c r="A153" s="6" t="inlineStr">
        <is>
          <t>A073240</t>
        </is>
      </c>
      <c r="B153" s="6" t="inlineStr">
        <is>
          <t>2026-03</t>
        </is>
      </c>
      <c r="C153" s="6" t="n">
        <v>602912000000</v>
      </c>
      <c r="D153" s="6" t="n">
        <v>1671850000000</v>
      </c>
      <c r="E153" s="6" t="n">
        <v>1873410000000</v>
      </c>
      <c r="F153" s="6" t="n">
        <v>1676040000000</v>
      </c>
      <c r="G153" s="8">
        <f>D153+E153-F153</f>
        <v/>
      </c>
      <c r="H153" s="8">
        <f>IFERROR(IF(G153&lt;=0,-1E+99,C153/G153),NA())</f>
        <v/>
      </c>
      <c r="I153" s="8">
        <f>IFERROR(MIN(4,INT((RANK.AVG(H153,$H$9:$H$185,1)-1)*5/COUNT($H$9:$H$185))),NA())</f>
        <v/>
      </c>
    </row>
    <row r="154">
      <c r="A154" s="6" t="inlineStr">
        <is>
          <t>A034230</t>
        </is>
      </c>
      <c r="B154" s="6" t="inlineStr">
        <is>
          <t>2026-03</t>
        </is>
      </c>
      <c r="C154" s="6" t="n">
        <v>135102000000</v>
      </c>
      <c r="D154" s="6" t="n">
        <v>1468180000000</v>
      </c>
      <c r="E154" s="6" t="n">
        <v>1203010000000</v>
      </c>
      <c r="F154" s="6" t="n">
        <v>397602000000</v>
      </c>
      <c r="G154" s="8">
        <f>D154+E154-F154</f>
        <v/>
      </c>
      <c r="H154" s="8">
        <f>IFERROR(IF(G154&lt;=0,-1E+99,C154/G154),NA())</f>
        <v/>
      </c>
      <c r="I154" s="8">
        <f>IFERROR(MIN(4,INT((RANK.AVG(H154,$H$9:$H$185,1)-1)*5/COUNT($H$9:$H$185))),NA())</f>
        <v/>
      </c>
    </row>
    <row r="155">
      <c r="A155" s="6" t="inlineStr">
        <is>
          <t>A011210</t>
        </is>
      </c>
      <c r="B155" s="6" t="inlineStr">
        <is>
          <t>2026-03</t>
        </is>
      </c>
      <c r="C155" s="6" t="n">
        <v>192344000000</v>
      </c>
      <c r="D155" s="6" t="n">
        <v>2249030000000</v>
      </c>
      <c r="E155" s="6" t="n">
        <v>1222670000000</v>
      </c>
      <c r="F155" s="6" t="n">
        <v>3289570000000</v>
      </c>
      <c r="G155" s="8">
        <f>D155+E155-F155</f>
        <v/>
      </c>
      <c r="H155" s="8">
        <f>IFERROR(IF(G155&lt;=0,-1E+99,C155/G155),NA())</f>
        <v/>
      </c>
      <c r="I155" s="8">
        <f>IFERROR(MIN(4,INT((RANK.AVG(H155,$H$9:$H$185,1)-1)*5/COUNT($H$9:$H$185))),NA())</f>
        <v/>
      </c>
    </row>
    <row r="156">
      <c r="A156" s="6" t="inlineStr">
        <is>
          <t>A185750</t>
        </is>
      </c>
      <c r="B156" s="6" t="inlineStr">
        <is>
          <t>2026-03</t>
        </is>
      </c>
      <c r="C156" s="6" t="n">
        <v>-73558259710</v>
      </c>
      <c r="D156" s="6" t="n">
        <v>1182900000000</v>
      </c>
      <c r="E156" s="6" t="n">
        <v>367758000000</v>
      </c>
      <c r="F156" s="6" t="n">
        <v>641349000000</v>
      </c>
      <c r="G156" s="8">
        <f>D156+E156-F156</f>
        <v/>
      </c>
      <c r="H156" s="8">
        <f>IFERROR(IF(G156&lt;=0,-1E+99,C156/G156),NA())</f>
        <v/>
      </c>
      <c r="I156" s="8">
        <f>IFERROR(MIN(4,INT((RANK.AVG(H156,$H$9:$H$185,1)-1)*5/COUNT($H$9:$H$185))),NA())</f>
        <v/>
      </c>
    </row>
    <row r="157">
      <c r="A157" s="6" t="inlineStr">
        <is>
          <t>A003240</t>
        </is>
      </c>
      <c r="B157" s="6" t="inlineStr">
        <is>
          <t>2026-03</t>
        </is>
      </c>
      <c r="C157" s="6" t="n">
        <v>-277685000000</v>
      </c>
      <c r="D157" s="6" t="n">
        <v>1324950000000</v>
      </c>
      <c r="E157" s="6" t="n">
        <v>9132739800</v>
      </c>
      <c r="F157" s="6" t="n">
        <v>1526860000000</v>
      </c>
      <c r="G157" s="8">
        <f>D157+E157-F157</f>
        <v/>
      </c>
      <c r="H157" s="8">
        <f>IFERROR(IF(G157&lt;=0,-1E+99,C157/G157),NA())</f>
        <v/>
      </c>
      <c r="I157" s="8">
        <f>IFERROR(MIN(4,INT((RANK.AVG(H157,$H$9:$H$185,1)-1)*5/COUNT($H$9:$H$185))),NA())</f>
        <v/>
      </c>
    </row>
    <row r="158">
      <c r="A158" s="6" t="inlineStr">
        <is>
          <t>A280360</t>
        </is>
      </c>
      <c r="B158" s="6" t="inlineStr">
        <is>
          <t>2026-03</t>
        </is>
      </c>
      <c r="C158" s="6" t="n">
        <v>-115358000000</v>
      </c>
      <c r="D158" s="6" t="n">
        <v>1126780000000</v>
      </c>
      <c r="E158" s="6" t="n">
        <v>1527710000000</v>
      </c>
      <c r="F158" s="6" t="n">
        <v>882128000000</v>
      </c>
      <c r="G158" s="8">
        <f>D158+E158-F158</f>
        <v/>
      </c>
      <c r="H158" s="8">
        <f>IFERROR(IF(G158&lt;=0,-1E+99,C158/G158),NA())</f>
        <v/>
      </c>
      <c r="I158" s="8">
        <f>IFERROR(MIN(4,INT((RANK.AVG(H158,$H$9:$H$185,1)-1)*5/COUNT($H$9:$H$185))),NA())</f>
        <v/>
      </c>
    </row>
    <row r="159">
      <c r="A159" s="6" t="inlineStr">
        <is>
          <t>A298020</t>
        </is>
      </c>
      <c r="B159" s="6" t="inlineStr">
        <is>
          <t>2026-03</t>
        </is>
      </c>
      <c r="C159" s="6" t="n">
        <v>13106137630</v>
      </c>
      <c r="D159" s="6" t="n">
        <v>2241740000000</v>
      </c>
      <c r="E159" s="6" t="n">
        <v>2239770000000</v>
      </c>
      <c r="F159" s="6" t="n">
        <v>1185560000000</v>
      </c>
      <c r="G159" s="8">
        <f>D159+E159-F159</f>
        <v/>
      </c>
      <c r="H159" s="8">
        <f>IFERROR(IF(G159&lt;=0,-1E+99,C159/G159),NA())</f>
        <v/>
      </c>
      <c r="I159" s="8">
        <f>IFERROR(MIN(4,INT((RANK.AVG(H159,$H$9:$H$185,1)-1)*5/COUNT($H$9:$H$185))),NA())</f>
        <v/>
      </c>
    </row>
    <row r="160">
      <c r="A160" s="6" t="inlineStr">
        <is>
          <t>A005300</t>
        </is>
      </c>
      <c r="B160" s="6" t="inlineStr">
        <is>
          <t>2026-03</t>
        </is>
      </c>
      <c r="C160" s="6" t="n">
        <v>147970000000</v>
      </c>
      <c r="D160" s="6" t="n">
        <v>1135740000000</v>
      </c>
      <c r="E160" s="6" t="n">
        <v>1717300000000</v>
      </c>
      <c r="F160" s="6" t="n">
        <v>575506000000</v>
      </c>
      <c r="G160" s="8">
        <f>D160+E160-F160</f>
        <v/>
      </c>
      <c r="H160" s="8">
        <f>IFERROR(IF(G160&lt;=0,-1E+99,C160/G160),NA())</f>
        <v/>
      </c>
      <c r="I160" s="8">
        <f>IFERROR(MIN(4,INT((RANK.AVG(H160,$H$9:$H$185,1)-1)*5/COUNT($H$9:$H$185))),NA())</f>
        <v/>
      </c>
    </row>
    <row r="161">
      <c r="A161" s="6" t="inlineStr">
        <is>
          <t>A017960</t>
        </is>
      </c>
      <c r="B161" s="6" t="inlineStr">
        <is>
          <t>2026-03</t>
        </is>
      </c>
      <c r="C161" s="6" t="n">
        <v>82777228170</v>
      </c>
      <c r="D161" s="6" t="n">
        <v>2590400000000</v>
      </c>
      <c r="E161" s="6" t="n">
        <v>116595000000</v>
      </c>
      <c r="F161" s="6" t="n">
        <v>245143000000</v>
      </c>
      <c r="G161" s="8">
        <f>D161+E161-F161</f>
        <v/>
      </c>
      <c r="H161" s="8">
        <f>IFERROR(IF(G161&lt;=0,-1E+99,C161/G161),NA())</f>
        <v/>
      </c>
      <c r="I161" s="8">
        <f>IFERROR(MIN(4,INT((RANK.AVG(H161,$H$9:$H$185,1)-1)*5/COUNT($H$9:$H$185))),NA())</f>
        <v/>
      </c>
    </row>
    <row r="162">
      <c r="A162" s="6" t="inlineStr">
        <is>
          <t>A192080</t>
        </is>
      </c>
      <c r="B162" s="6" t="inlineStr">
        <is>
          <t>2026-03</t>
        </is>
      </c>
      <c r="C162" s="6" t="n">
        <v>236156000000</v>
      </c>
      <c r="D162" s="6" t="n">
        <v>1293700000000</v>
      </c>
      <c r="E162" s="6" t="n">
        <v>23217169570</v>
      </c>
      <c r="F162" s="6" t="n">
        <v>922961000000</v>
      </c>
      <c r="G162" s="8">
        <f>D162+E162-F162</f>
        <v/>
      </c>
      <c r="H162" s="8">
        <f>IFERROR(IF(G162&lt;=0,-1E+99,C162/G162),NA())</f>
        <v/>
      </c>
      <c r="I162" s="8">
        <f>IFERROR(MIN(4,INT((RANK.AVG(H162,$H$9:$H$185,1)-1)*5/COUNT($H$9:$H$185))),NA())</f>
        <v/>
      </c>
    </row>
    <row r="163">
      <c r="A163" s="6" t="inlineStr">
        <is>
          <t>A009240</t>
        </is>
      </c>
      <c r="B163" s="6" t="inlineStr">
        <is>
          <t>2026-03</t>
        </is>
      </c>
      <c r="C163" s="6" t="n">
        <v>54468425110</v>
      </c>
      <c r="D163" s="6" t="n">
        <v>1063730000000</v>
      </c>
      <c r="E163" s="6" t="n">
        <v>291005000000</v>
      </c>
      <c r="F163" s="6" t="n">
        <v>423233000000</v>
      </c>
      <c r="G163" s="8">
        <f>D163+E163-F163</f>
        <v/>
      </c>
      <c r="H163" s="8">
        <f>IFERROR(IF(G163&lt;=0,-1E+99,C163/G163),NA())</f>
        <v/>
      </c>
      <c r="I163" s="8">
        <f>IFERROR(MIN(4,INT((RANK.AVG(H163,$H$9:$H$185,1)-1)*5/COUNT($H$9:$H$185))),NA())</f>
        <v/>
      </c>
    </row>
    <row r="164">
      <c r="A164" s="6" t="inlineStr">
        <is>
          <t>A285130</t>
        </is>
      </c>
      <c r="B164" s="6" t="inlineStr">
        <is>
          <t>2026-03</t>
        </is>
      </c>
      <c r="C164" s="6" t="n">
        <v>-149204000000</v>
      </c>
      <c r="D164" s="6" t="n">
        <v>1027550000000</v>
      </c>
      <c r="E164" s="6" t="n">
        <v>2162450000000</v>
      </c>
      <c r="F164" s="6" t="n">
        <v>1915450000000</v>
      </c>
      <c r="G164" s="8">
        <f>D164+E164-F164</f>
        <v/>
      </c>
      <c r="H164" s="8">
        <f>IFERROR(IF(G164&lt;=0,-1E+99,C164/G164),NA())</f>
        <v/>
      </c>
      <c r="I164" s="8">
        <f>IFERROR(MIN(4,INT((RANK.AVG(H164,$H$9:$H$185,1)-1)*5/COUNT($H$9:$H$185))),NA())</f>
        <v/>
      </c>
    </row>
    <row r="165">
      <c r="A165" s="6" t="inlineStr">
        <is>
          <t>A004000</t>
        </is>
      </c>
      <c r="B165" s="6" t="inlineStr">
        <is>
          <t>2026-03</t>
        </is>
      </c>
      <c r="C165" s="6" t="n">
        <v>29316489690</v>
      </c>
      <c r="D165" s="6" t="n">
        <v>1790520000000</v>
      </c>
      <c r="E165" s="6" t="n">
        <v>67581572000</v>
      </c>
      <c r="F165" s="6" t="n">
        <v>474479000000</v>
      </c>
      <c r="G165" s="8">
        <f>D165+E165-F165</f>
        <v/>
      </c>
      <c r="H165" s="8">
        <f>IFERROR(IF(G165&lt;=0,-1E+99,C165/G165),NA())</f>
        <v/>
      </c>
      <c r="I165" s="8">
        <f>IFERROR(MIN(4,INT((RANK.AVG(H165,$H$9:$H$185,1)-1)*5/COUNT($H$9:$H$185))),NA())</f>
        <v/>
      </c>
    </row>
    <row r="166">
      <c r="A166" s="6" t="inlineStr">
        <is>
          <t>A004490</t>
        </is>
      </c>
      <c r="B166" s="6" t="inlineStr">
        <is>
          <t>2026-03</t>
        </is>
      </c>
      <c r="C166" s="6" t="n">
        <v>78594112290</v>
      </c>
      <c r="D166" s="6" t="n">
        <v>914760000000</v>
      </c>
      <c r="E166" s="6" t="n">
        <v>270275000000</v>
      </c>
      <c r="F166" s="6" t="n">
        <v>805359000000</v>
      </c>
      <c r="G166" s="8">
        <f>D166+E166-F166</f>
        <v/>
      </c>
      <c r="H166" s="8">
        <f>IFERROR(IF(G166&lt;=0,-1E+99,C166/G166),NA())</f>
        <v/>
      </c>
      <c r="I166" s="8">
        <f>IFERROR(MIN(4,INT((RANK.AVG(H166,$H$9:$H$185,1)-1)*5/COUNT($H$9:$H$185))),NA())</f>
        <v/>
      </c>
    </row>
    <row r="167">
      <c r="A167" s="6" t="inlineStr">
        <is>
          <t>A003030</t>
        </is>
      </c>
      <c r="B167" s="6" t="inlineStr">
        <is>
          <t>2026-03</t>
        </is>
      </c>
      <c r="C167" s="6" t="n">
        <v>-605473000000</v>
      </c>
      <c r="D167" s="6" t="n">
        <v>993998000000</v>
      </c>
      <c r="E167" s="6" t="n">
        <v>2534060000000</v>
      </c>
      <c r="F167" s="6" t="n">
        <v>1299940000000</v>
      </c>
      <c r="G167" s="8">
        <f>D167+E167-F167</f>
        <v/>
      </c>
      <c r="H167" s="8">
        <f>IFERROR(IF(G167&lt;=0,-1E+99,C167/G167),NA())</f>
        <v/>
      </c>
      <c r="I167" s="8">
        <f>IFERROR(MIN(4,INT((RANK.AVG(H167,$H$9:$H$185,1)-1)*5/COUNT($H$9:$H$185))),NA())</f>
        <v/>
      </c>
    </row>
    <row r="168">
      <c r="A168" s="6" t="inlineStr">
        <is>
          <t>A000210</t>
        </is>
      </c>
      <c r="B168" s="6" t="inlineStr">
        <is>
          <t>2026-03</t>
        </is>
      </c>
      <c r="C168" s="6" t="n">
        <v>283731000000</v>
      </c>
      <c r="D168" s="6" t="n">
        <v>1498350000000</v>
      </c>
      <c r="E168" s="6" t="n">
        <v>5589170000000</v>
      </c>
      <c r="F168" s="6" t="n">
        <v>2019110000000</v>
      </c>
      <c r="G168" s="8">
        <f>D168+E168-F168</f>
        <v/>
      </c>
      <c r="H168" s="8">
        <f>IFERROR(IF(G168&lt;=0,-1E+99,C168/G168),NA())</f>
        <v/>
      </c>
      <c r="I168" s="8">
        <f>IFERROR(MIN(4,INT((RANK.AVG(H168,$H$9:$H$185,1)-1)*5/COUNT($H$9:$H$185))),NA())</f>
        <v/>
      </c>
    </row>
    <row r="169">
      <c r="A169" s="6" t="inlineStr">
        <is>
          <t>A014820</t>
        </is>
      </c>
      <c r="B169" s="6" t="inlineStr">
        <is>
          <t>2026-03</t>
        </is>
      </c>
      <c r="C169" s="6" t="n">
        <v>69997771440</v>
      </c>
      <c r="D169" s="6" t="n">
        <v>814655000000</v>
      </c>
      <c r="E169" s="6" t="n">
        <v>471481000000</v>
      </c>
      <c r="F169" s="6" t="n">
        <v>418100000000</v>
      </c>
      <c r="G169" s="8">
        <f>D169+E169-F169</f>
        <v/>
      </c>
      <c r="H169" s="8">
        <f>IFERROR(IF(G169&lt;=0,-1E+99,C169/G169),NA())</f>
        <v/>
      </c>
      <c r="I169" s="8">
        <f>IFERROR(MIN(4,INT((RANK.AVG(H169,$H$9:$H$185,1)-1)*5/COUNT($H$9:$H$185))),NA())</f>
        <v/>
      </c>
    </row>
    <row r="170">
      <c r="A170" s="6" t="inlineStr">
        <is>
          <t>A120110</t>
        </is>
      </c>
      <c r="B170" s="6" t="inlineStr">
        <is>
          <t>2026-03</t>
        </is>
      </c>
      <c r="C170" s="6" t="n">
        <v>194568000000</v>
      </c>
      <c r="D170" s="6" t="n">
        <v>2817920000000</v>
      </c>
      <c r="E170" s="6" t="n">
        <v>2646590000000</v>
      </c>
      <c r="F170" s="6" t="n">
        <v>1226360000000</v>
      </c>
      <c r="G170" s="8">
        <f>D170+E170-F170</f>
        <v/>
      </c>
      <c r="H170" s="8">
        <f>IFERROR(IF(G170&lt;=0,-1E+99,C170/G170),NA())</f>
        <v/>
      </c>
      <c r="I170" s="8">
        <f>IFERROR(MIN(4,INT((RANK.AVG(H170,$H$9:$H$185,1)-1)*5/COUNT($H$9:$H$185))),NA())</f>
        <v/>
      </c>
    </row>
    <row r="171">
      <c r="A171" s="6" t="inlineStr">
        <is>
          <t>A114090</t>
        </is>
      </c>
      <c r="B171" s="6" t="inlineStr">
        <is>
          <t>2026-03</t>
        </is>
      </c>
      <c r="C171" s="6" t="n">
        <v>96157052260</v>
      </c>
      <c r="D171" s="6" t="n">
        <v>745979000000</v>
      </c>
      <c r="E171" s="6" t="n">
        <v>51760839920</v>
      </c>
      <c r="F171" s="6" t="n">
        <v>431082000000</v>
      </c>
      <c r="G171" s="8">
        <f>D171+E171-F171</f>
        <v/>
      </c>
      <c r="H171" s="8">
        <f>IFERROR(IF(G171&lt;=0,-1E+99,C171/G171),NA())</f>
        <v/>
      </c>
      <c r="I171" s="8">
        <f>IFERROR(MIN(4,INT((RANK.AVG(H171,$H$9:$H$185,1)-1)*5/COUNT($H$9:$H$185))),NA())</f>
        <v/>
      </c>
    </row>
    <row r="172">
      <c r="A172" s="6" t="inlineStr">
        <is>
          <t>A071320</t>
        </is>
      </c>
      <c r="B172" s="6" t="inlineStr">
        <is>
          <t>2026-03</t>
        </is>
      </c>
      <c r="C172" s="6" t="n">
        <v>344292000000</v>
      </c>
      <c r="D172" s="6" t="n">
        <v>885774000000</v>
      </c>
      <c r="E172" s="6" t="n">
        <v>4305760000000</v>
      </c>
      <c r="F172" s="6" t="n">
        <v>947576000000</v>
      </c>
      <c r="G172" s="8">
        <f>D172+E172-F172</f>
        <v/>
      </c>
      <c r="H172" s="8">
        <f>IFERROR(IF(G172&lt;=0,-1E+99,C172/G172),NA())</f>
        <v/>
      </c>
      <c r="I172" s="8">
        <f>IFERROR(MIN(4,INT((RANK.AVG(H172,$H$9:$H$185,1)-1)*5/COUNT($H$9:$H$185))),NA())</f>
        <v/>
      </c>
    </row>
    <row r="173">
      <c r="A173" s="6" t="inlineStr">
        <is>
          <t>A298050</t>
        </is>
      </c>
      <c r="B173" s="6" t="inlineStr">
        <is>
          <t>2026-03</t>
        </is>
      </c>
      <c r="C173" s="6" t="n">
        <v>-12106450870</v>
      </c>
      <c r="D173" s="6" t="n">
        <v>1207350000000</v>
      </c>
      <c r="E173" s="6" t="n">
        <v>2520690000000</v>
      </c>
      <c r="F173" s="6" t="n">
        <v>594478000000</v>
      </c>
      <c r="G173" s="8">
        <f>D173+E173-F173</f>
        <v/>
      </c>
      <c r="H173" s="8">
        <f>IFERROR(IF(G173&lt;=0,-1E+99,C173/G173),NA())</f>
        <v/>
      </c>
      <c r="I173" s="8">
        <f>IFERROR(MIN(4,INT((RANK.AVG(H173,$H$9:$H$185,1)-1)*5/COUNT($H$9:$H$185))),NA())</f>
        <v/>
      </c>
    </row>
    <row r="174">
      <c r="A174" s="6" t="inlineStr">
        <is>
          <t>A002840</t>
        </is>
      </c>
      <c r="B174" s="6" t="inlineStr">
        <is>
          <t>2026-03</t>
        </is>
      </c>
      <c r="C174" s="6" t="n">
        <v>19470433400</v>
      </c>
      <c r="D174" s="6" t="n">
        <v>721050000000</v>
      </c>
      <c r="E174" s="6" t="n">
        <v>182004650</v>
      </c>
      <c r="F174" s="6" t="n">
        <v>99919315050</v>
      </c>
      <c r="G174" s="8">
        <f>D174+E174-F174</f>
        <v/>
      </c>
      <c r="H174" s="8">
        <f>IFERROR(IF(G174&lt;=0,-1E+99,C174/G174),NA())</f>
        <v/>
      </c>
      <c r="I174" s="8">
        <f>IFERROR(MIN(4,INT((RANK.AVG(H174,$H$9:$H$185,1)-1)*5/COUNT($H$9:$H$185))),NA())</f>
        <v/>
      </c>
    </row>
    <row r="175">
      <c r="A175" s="6" t="inlineStr">
        <is>
          <t>A001430</t>
        </is>
      </c>
      <c r="B175" s="6" t="inlineStr">
        <is>
          <t>2026-03</t>
        </is>
      </c>
      <c r="C175" s="6" t="n">
        <v>-75406507830</v>
      </c>
      <c r="D175" s="6" t="n">
        <v>2707590000000</v>
      </c>
      <c r="E175" s="6" t="n">
        <v>1289380000000</v>
      </c>
      <c r="F175" s="6" t="n">
        <v>725120000000</v>
      </c>
      <c r="G175" s="8">
        <f>D175+E175-F175</f>
        <v/>
      </c>
      <c r="H175" s="8">
        <f>IFERROR(IF(G175&lt;=0,-1E+99,C175/G175),NA())</f>
        <v/>
      </c>
      <c r="I175" s="8">
        <f>IFERROR(MIN(4,INT((RANK.AVG(H175,$H$9:$H$185,1)-1)*5/COUNT($H$9:$H$185))),NA())</f>
        <v/>
      </c>
    </row>
    <row r="176">
      <c r="A176" s="6" t="inlineStr">
        <is>
          <t>A000670</t>
        </is>
      </c>
      <c r="B176" s="6" t="inlineStr">
        <is>
          <t>2026-03</t>
        </is>
      </c>
      <c r="C176" s="6" t="n">
        <v>-110734000000</v>
      </c>
      <c r="D176" s="6" t="n">
        <v>1213260000000</v>
      </c>
      <c r="E176" s="6" t="n">
        <v>424487000000</v>
      </c>
      <c r="F176" s="6" t="n">
        <v>832674000000</v>
      </c>
      <c r="G176" s="8">
        <f>D176+E176-F176</f>
        <v/>
      </c>
      <c r="H176" s="8">
        <f>IFERROR(IF(G176&lt;=0,-1E+99,C176/G176),NA())</f>
        <v/>
      </c>
      <c r="I176" s="8">
        <f>IFERROR(MIN(4,INT((RANK.AVG(H176,$H$9:$H$185,1)-1)*5/COUNT($H$9:$H$185))),NA())</f>
        <v/>
      </c>
    </row>
    <row r="177">
      <c r="A177" s="6" t="inlineStr">
        <is>
          <t>A005250</t>
        </is>
      </c>
      <c r="B177" s="6" t="inlineStr">
        <is>
          <t>2026-03</t>
        </is>
      </c>
      <c r="C177" s="6" t="n">
        <v>-86569588690</v>
      </c>
      <c r="D177" s="6" t="n">
        <v>656514000000</v>
      </c>
      <c r="E177" s="6" t="n">
        <v>1493300000000</v>
      </c>
      <c r="F177" s="6" t="n">
        <v>617161000000</v>
      </c>
      <c r="G177" s="8">
        <f>D177+E177-F177</f>
        <v/>
      </c>
      <c r="H177" s="8">
        <f>IFERROR(IF(G177&lt;=0,-1E+99,C177/G177),NA())</f>
        <v/>
      </c>
      <c r="I177" s="8">
        <f>IFERROR(MIN(4,INT((RANK.AVG(H177,$H$9:$H$185,1)-1)*5/COUNT($H$9:$H$185))),NA())</f>
        <v/>
      </c>
    </row>
    <row r="178">
      <c r="A178" s="6" t="inlineStr">
        <is>
          <t>A008730</t>
        </is>
      </c>
      <c r="B178" s="6" t="inlineStr">
        <is>
          <t>2026-03</t>
        </is>
      </c>
      <c r="C178" s="6" t="n">
        <v>-7556651420</v>
      </c>
      <c r="D178" s="6" t="n">
        <v>638600000000</v>
      </c>
      <c r="E178" s="6" t="n">
        <v>287179000000</v>
      </c>
      <c r="F178" s="6" t="n">
        <v>151198000000</v>
      </c>
      <c r="G178" s="8">
        <f>D178+E178-F178</f>
        <v/>
      </c>
      <c r="H178" s="8">
        <f>IFERROR(IF(G178&lt;=0,-1E+99,C178/G178),NA())</f>
        <v/>
      </c>
      <c r="I178" s="8">
        <f>IFERROR(MIN(4,INT((RANK.AVG(H178,$H$9:$H$185,1)-1)*5/COUNT($H$9:$H$185))),NA())</f>
        <v/>
      </c>
    </row>
    <row r="179">
      <c r="A179" s="6" t="inlineStr">
        <is>
          <t>A268280</t>
        </is>
      </c>
      <c r="B179" s="6" t="inlineStr">
        <is>
          <t>2026-03</t>
        </is>
      </c>
      <c r="C179" s="6" t="n">
        <v>31398171740</v>
      </c>
      <c r="D179" s="6" t="n">
        <v>612500000000</v>
      </c>
      <c r="E179" s="6" t="n">
        <v>35541790230</v>
      </c>
      <c r="F179" s="6" t="n">
        <v>248281000000</v>
      </c>
      <c r="G179" s="8">
        <f>D179+E179-F179</f>
        <v/>
      </c>
      <c r="H179" s="8">
        <f>IFERROR(IF(G179&lt;=0,-1E+99,C179/G179),NA())</f>
        <v/>
      </c>
      <c r="I179" s="8">
        <f>IFERROR(MIN(4,INT((RANK.AVG(H179,$H$9:$H$185,1)-1)*5/COUNT($H$9:$H$185))),NA())</f>
        <v/>
      </c>
    </row>
    <row r="180">
      <c r="A180" s="6" t="inlineStr">
        <is>
          <t>A001680</t>
        </is>
      </c>
      <c r="B180" s="6" t="inlineStr">
        <is>
          <t>2026-03</t>
        </is>
      </c>
      <c r="C180" s="6" t="n">
        <v>50948193420</v>
      </c>
      <c r="D180" s="6" t="n">
        <v>717214000000</v>
      </c>
      <c r="E180" s="6" t="n">
        <v>1417030000000</v>
      </c>
      <c r="F180" s="6" t="n">
        <v>1097430000000</v>
      </c>
      <c r="G180" s="8">
        <f>D180+E180-F180</f>
        <v/>
      </c>
      <c r="H180" s="8">
        <f>IFERROR(IF(G180&lt;=0,-1E+99,C180/G180),NA())</f>
        <v/>
      </c>
      <c r="I180" s="8">
        <f>IFERROR(MIN(4,INT((RANK.AVG(H180,$H$9:$H$185,1)-1)*5/COUNT($H$9:$H$185))),NA())</f>
        <v/>
      </c>
    </row>
    <row r="181">
      <c r="A181" s="6" t="inlineStr">
        <is>
          <t>A069260</t>
        </is>
      </c>
      <c r="B181" s="6" t="inlineStr">
        <is>
          <t>2026-03</t>
        </is>
      </c>
      <c r="C181" s="6" t="n">
        <v>91885508000</v>
      </c>
      <c r="D181" s="6" t="n">
        <v>772197000000</v>
      </c>
      <c r="E181" s="6" t="n">
        <v>64549385100</v>
      </c>
      <c r="F181" s="6" t="n">
        <v>407377000000</v>
      </c>
      <c r="G181" s="8">
        <f>D181+E181-F181</f>
        <v/>
      </c>
      <c r="H181" s="8">
        <f>IFERROR(IF(G181&lt;=0,-1E+99,C181/G181),NA())</f>
        <v/>
      </c>
      <c r="I181" s="8">
        <f>IFERROR(MIN(4,INT((RANK.AVG(H181,$H$9:$H$185,1)-1)*5/COUNT($H$9:$H$185))),NA())</f>
        <v/>
      </c>
    </row>
    <row r="182">
      <c r="A182" s="6" t="inlineStr">
        <is>
          <t>A002030</t>
        </is>
      </c>
      <c r="B182" s="6" t="inlineStr">
        <is>
          <t>2026-03</t>
        </is>
      </c>
      <c r="C182" s="6" t="n">
        <v>-41365148000</v>
      </c>
      <c r="D182" s="6" t="n">
        <v>557949000000</v>
      </c>
      <c r="E182" s="6" t="n">
        <v>798732000000</v>
      </c>
      <c r="F182" s="6" t="n">
        <v>486858000000</v>
      </c>
      <c r="G182" s="8">
        <f>D182+E182-F182</f>
        <v/>
      </c>
      <c r="H182" s="8">
        <f>IFERROR(IF(G182&lt;=0,-1E+99,C182/G182),NA())</f>
        <v/>
      </c>
      <c r="I182" s="8">
        <f>IFERROR(MIN(4,INT((RANK.AVG(H182,$H$9:$H$185,1)-1)*5/COUNT($H$9:$H$185))),NA())</f>
        <v/>
      </c>
    </row>
    <row r="183">
      <c r="A183" s="6" t="inlineStr">
        <is>
          <t>A006650</t>
        </is>
      </c>
      <c r="B183" s="6" t="inlineStr">
        <is>
          <t>2026-03</t>
        </is>
      </c>
      <c r="C183" s="6" t="n">
        <v>125641000000</v>
      </c>
      <c r="D183" s="6" t="n">
        <v>1177150000000</v>
      </c>
      <c r="E183" s="6" t="n">
        <v>307427000000</v>
      </c>
      <c r="F183" s="6" t="n">
        <v>536025000000</v>
      </c>
      <c r="G183" s="8">
        <f>D183+E183-F183</f>
        <v/>
      </c>
      <c r="H183" s="8">
        <f>IFERROR(IF(G183&lt;=0,-1E+99,C183/G183),NA())</f>
        <v/>
      </c>
      <c r="I183" s="8">
        <f>IFERROR(MIN(4,INT((RANK.AVG(H183,$H$9:$H$185,1)-1)*5/COUNT($H$9:$H$185))),NA())</f>
        <v/>
      </c>
    </row>
    <row r="184">
      <c r="A184" s="6" t="inlineStr">
        <is>
          <t>A005420</t>
        </is>
      </c>
      <c r="B184" s="6" t="inlineStr">
        <is>
          <t>2026-03</t>
        </is>
      </c>
      <c r="C184" s="6" t="n">
        <v>66782962470</v>
      </c>
      <c r="D184" s="6" t="n">
        <v>681746000000</v>
      </c>
      <c r="E184" s="6" t="n">
        <v>395234000000</v>
      </c>
      <c r="F184" s="6" t="n">
        <v>151383000000</v>
      </c>
      <c r="G184" s="8">
        <f>D184+E184-F184</f>
        <v/>
      </c>
      <c r="H184" s="8">
        <f>IFERROR(IF(G184&lt;=0,-1E+99,C184/G184),NA())</f>
        <v/>
      </c>
      <c r="I184" s="8">
        <f>IFERROR(MIN(4,INT((RANK.AVG(H184,$H$9:$H$185,1)-1)*5/COUNT($H$9:$H$185))),NA())</f>
        <v/>
      </c>
    </row>
    <row r="185">
      <c r="A185" s="6" t="inlineStr">
        <is>
          <t>A093370</t>
        </is>
      </c>
      <c r="B185" s="6" t="inlineStr">
        <is>
          <t>2026-03</t>
        </is>
      </c>
      <c r="C185" s="6" t="n">
        <v>427403590</v>
      </c>
      <c r="D185" s="6" t="n">
        <v>1420060000000</v>
      </c>
      <c r="E185" s="6" t="n">
        <v>309094000000</v>
      </c>
      <c r="F185" s="6" t="n">
        <v>166459000000</v>
      </c>
      <c r="G185" s="8">
        <f>D185+E185-F185</f>
        <v/>
      </c>
      <c r="H185" s="8">
        <f>IFERROR(IF(G185&lt;=0,-1E+99,C185/G185),NA())</f>
        <v/>
      </c>
      <c r="I185" s="8">
        <f>IFERROR(MIN(4,INT((RANK.AVG(H185,$H$9:$H$185,1)-1)*5/COUNT($H$9:$H$185))),NA())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2026-05-28T08:27:18Z</dcterms:created>
  <dcterms:modified xsi:type="dcterms:W3CDTF">2026-05-28T08:27:19Z</dcterms:modified>
</cp:coreProperties>
</file>