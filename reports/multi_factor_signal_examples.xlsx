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ECK\Documents\GitHub\shquants\reports\"/>
    </mc:Choice>
  </mc:AlternateContent>
  <xr:revisionPtr revIDLastSave="0" documentId="13_ncr:1_{EED8F129-3671-4177-909F-EEED6FEB89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_momentum" sheetId="1" r:id="rId1"/>
    <sheet name="earnings_momentum" sheetId="2" r:id="rId2"/>
    <sheet name="dividend_yield" sheetId="3" r:id="rId3"/>
    <sheet name="retail_flow" sheetId="4" r:id="rId4"/>
    <sheet name="value" sheetId="5" r:id="rId5"/>
    <sheet name="q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J6" i="5"/>
  <c r="J5" i="5"/>
  <c r="D18" i="4"/>
  <c r="D17" i="4"/>
  <c r="D16" i="4"/>
  <c r="D15" i="4"/>
  <c r="D14" i="4"/>
  <c r="D13" i="4"/>
  <c r="D12" i="4"/>
  <c r="D11" i="4"/>
  <c r="D10" i="4"/>
  <c r="D9" i="4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9" i="3"/>
  <c r="G6" i="3"/>
  <c r="G5" i="3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9" i="2"/>
  <c r="F6" i="2"/>
  <c r="F5" i="2"/>
  <c r="G186" i="5"/>
  <c r="H186" i="5" s="1"/>
  <c r="G185" i="5"/>
  <c r="H185" i="5" s="1"/>
  <c r="H184" i="5"/>
  <c r="G184" i="5"/>
  <c r="G183" i="5"/>
  <c r="H183" i="5" s="1"/>
  <c r="G182" i="5"/>
  <c r="H182" i="5" s="1"/>
  <c r="G181" i="5"/>
  <c r="H181" i="5" s="1"/>
  <c r="H180" i="5"/>
  <c r="G180" i="5"/>
  <c r="H179" i="5"/>
  <c r="G179" i="5"/>
  <c r="G178" i="5"/>
  <c r="H178" i="5" s="1"/>
  <c r="H177" i="5"/>
  <c r="G177" i="5"/>
  <c r="G176" i="5"/>
  <c r="H176" i="5" s="1"/>
  <c r="H175" i="5"/>
  <c r="G175" i="5"/>
  <c r="G174" i="5"/>
  <c r="H174" i="5" s="1"/>
  <c r="H173" i="5"/>
  <c r="G173" i="5"/>
  <c r="G172" i="5"/>
  <c r="H172" i="5" s="1"/>
  <c r="G171" i="5"/>
  <c r="H171" i="5" s="1"/>
  <c r="H170" i="5"/>
  <c r="G170" i="5"/>
  <c r="H169" i="5"/>
  <c r="G169" i="5"/>
  <c r="G168" i="5"/>
  <c r="H168" i="5" s="1"/>
  <c r="G167" i="5"/>
  <c r="H167" i="5" s="1"/>
  <c r="G166" i="5"/>
  <c r="H166" i="5" s="1"/>
  <c r="G165" i="5"/>
  <c r="H165" i="5" s="1"/>
  <c r="H164" i="5"/>
  <c r="G164" i="5"/>
  <c r="H163" i="5"/>
  <c r="G163" i="5"/>
  <c r="G162" i="5"/>
  <c r="H162" i="5" s="1"/>
  <c r="G161" i="5"/>
  <c r="H161" i="5" s="1"/>
  <c r="H160" i="5"/>
  <c r="G160" i="5"/>
  <c r="H159" i="5"/>
  <c r="G159" i="5"/>
  <c r="G158" i="5"/>
  <c r="H158" i="5" s="1"/>
  <c r="H157" i="5"/>
  <c r="G157" i="5"/>
  <c r="G156" i="5"/>
  <c r="H156" i="5" s="1"/>
  <c r="H155" i="5"/>
  <c r="G155" i="5"/>
  <c r="G154" i="5"/>
  <c r="H154" i="5" s="1"/>
  <c r="H153" i="5"/>
  <c r="G153" i="5"/>
  <c r="G152" i="5"/>
  <c r="H152" i="5" s="1"/>
  <c r="G151" i="5"/>
  <c r="H151" i="5" s="1"/>
  <c r="H150" i="5"/>
  <c r="G150" i="5"/>
  <c r="H149" i="5"/>
  <c r="G149" i="5"/>
  <c r="G148" i="5"/>
  <c r="H148" i="5" s="1"/>
  <c r="G147" i="5"/>
  <c r="H147" i="5" s="1"/>
  <c r="G146" i="5"/>
  <c r="H146" i="5" s="1"/>
  <c r="G145" i="5"/>
  <c r="H145" i="5" s="1"/>
  <c r="H144" i="5"/>
  <c r="G144" i="5"/>
  <c r="H143" i="5"/>
  <c r="G143" i="5"/>
  <c r="G142" i="5"/>
  <c r="H142" i="5" s="1"/>
  <c r="G141" i="5"/>
  <c r="H141" i="5" s="1"/>
  <c r="H140" i="5"/>
  <c r="G140" i="5"/>
  <c r="H139" i="5"/>
  <c r="G139" i="5"/>
  <c r="G138" i="5"/>
  <c r="H138" i="5" s="1"/>
  <c r="H137" i="5"/>
  <c r="G137" i="5"/>
  <c r="G136" i="5"/>
  <c r="H136" i="5" s="1"/>
  <c r="H135" i="5"/>
  <c r="G135" i="5"/>
  <c r="G134" i="5"/>
  <c r="H134" i="5" s="1"/>
  <c r="H133" i="5"/>
  <c r="G133" i="5"/>
  <c r="G132" i="5"/>
  <c r="H132" i="5" s="1"/>
  <c r="G131" i="5"/>
  <c r="H131" i="5" s="1"/>
  <c r="H130" i="5"/>
  <c r="G130" i="5"/>
  <c r="H129" i="5"/>
  <c r="G129" i="5"/>
  <c r="G128" i="5"/>
  <c r="H128" i="5" s="1"/>
  <c r="G127" i="5"/>
  <c r="H127" i="5" s="1"/>
  <c r="G126" i="5"/>
  <c r="H126" i="5" s="1"/>
  <c r="G125" i="5"/>
  <c r="H125" i="5" s="1"/>
  <c r="H124" i="5"/>
  <c r="G124" i="5"/>
  <c r="H123" i="5"/>
  <c r="G123" i="5"/>
  <c r="G122" i="5"/>
  <c r="H122" i="5" s="1"/>
  <c r="G121" i="5"/>
  <c r="H121" i="5" s="1"/>
  <c r="H120" i="5"/>
  <c r="G120" i="5"/>
  <c r="H119" i="5"/>
  <c r="G119" i="5"/>
  <c r="G118" i="5"/>
  <c r="H118" i="5" s="1"/>
  <c r="H117" i="5"/>
  <c r="G117" i="5"/>
  <c r="G116" i="5"/>
  <c r="H116" i="5" s="1"/>
  <c r="H115" i="5"/>
  <c r="G115" i="5"/>
  <c r="G114" i="5"/>
  <c r="H114" i="5" s="1"/>
  <c r="H113" i="5"/>
  <c r="G113" i="5"/>
  <c r="G112" i="5"/>
  <c r="H112" i="5" s="1"/>
  <c r="G111" i="5"/>
  <c r="H111" i="5" s="1"/>
  <c r="H110" i="5"/>
  <c r="G110" i="5"/>
  <c r="H109" i="5"/>
  <c r="G109" i="5"/>
  <c r="G108" i="5"/>
  <c r="H108" i="5" s="1"/>
  <c r="G107" i="5"/>
  <c r="H107" i="5" s="1"/>
  <c r="G106" i="5"/>
  <c r="H106" i="5" s="1"/>
  <c r="G105" i="5"/>
  <c r="H105" i="5" s="1"/>
  <c r="H104" i="5"/>
  <c r="G104" i="5"/>
  <c r="G103" i="5"/>
  <c r="H103" i="5" s="1"/>
  <c r="G102" i="5"/>
  <c r="H102" i="5" s="1"/>
  <c r="G101" i="5"/>
  <c r="H101" i="5" s="1"/>
  <c r="H100" i="5"/>
  <c r="G100" i="5"/>
  <c r="H99" i="5"/>
  <c r="G99" i="5"/>
  <c r="G98" i="5"/>
  <c r="H98" i="5" s="1"/>
  <c r="H97" i="5"/>
  <c r="G97" i="5"/>
  <c r="G96" i="5"/>
  <c r="H96" i="5" s="1"/>
  <c r="H95" i="5"/>
  <c r="G95" i="5"/>
  <c r="G94" i="5"/>
  <c r="H94" i="5" s="1"/>
  <c r="H93" i="5"/>
  <c r="G93" i="5"/>
  <c r="G92" i="5"/>
  <c r="H92" i="5" s="1"/>
  <c r="G91" i="5"/>
  <c r="H91" i="5" s="1"/>
  <c r="H90" i="5"/>
  <c r="G90" i="5"/>
  <c r="H89" i="5"/>
  <c r="G89" i="5"/>
  <c r="G88" i="5"/>
  <c r="H88" i="5" s="1"/>
  <c r="G87" i="5"/>
  <c r="H87" i="5" s="1"/>
  <c r="G86" i="5"/>
  <c r="H86" i="5" s="1"/>
  <c r="G85" i="5"/>
  <c r="H85" i="5" s="1"/>
  <c r="H84" i="5"/>
  <c r="G84" i="5"/>
  <c r="G83" i="5"/>
  <c r="H83" i="5" s="1"/>
  <c r="G82" i="5"/>
  <c r="H82" i="5" s="1"/>
  <c r="G81" i="5"/>
  <c r="H81" i="5" s="1"/>
  <c r="H80" i="5"/>
  <c r="G80" i="5"/>
  <c r="H79" i="5"/>
  <c r="G79" i="5"/>
  <c r="G78" i="5"/>
  <c r="H78" i="5" s="1"/>
  <c r="H77" i="5"/>
  <c r="G77" i="5"/>
  <c r="G76" i="5"/>
  <c r="H76" i="5" s="1"/>
  <c r="H75" i="5"/>
  <c r="G75" i="5"/>
  <c r="G74" i="5"/>
  <c r="H74" i="5" s="1"/>
  <c r="H73" i="5"/>
  <c r="G73" i="5"/>
  <c r="G72" i="5"/>
  <c r="H72" i="5" s="1"/>
  <c r="G71" i="5"/>
  <c r="H71" i="5" s="1"/>
  <c r="H70" i="5"/>
  <c r="G70" i="5"/>
  <c r="H69" i="5"/>
  <c r="G69" i="5"/>
  <c r="G68" i="5"/>
  <c r="H68" i="5" s="1"/>
  <c r="G67" i="5"/>
  <c r="H67" i="5" s="1"/>
  <c r="G66" i="5"/>
  <c r="H66" i="5" s="1"/>
  <c r="G65" i="5"/>
  <c r="H65" i="5" s="1"/>
  <c r="H64" i="5"/>
  <c r="G64" i="5"/>
  <c r="G63" i="5"/>
  <c r="H63" i="5" s="1"/>
  <c r="G62" i="5"/>
  <c r="H62" i="5" s="1"/>
  <c r="G61" i="5"/>
  <c r="H61" i="5" s="1"/>
  <c r="H60" i="5"/>
  <c r="G60" i="5"/>
  <c r="H59" i="5"/>
  <c r="G59" i="5"/>
  <c r="G58" i="5"/>
  <c r="H58" i="5" s="1"/>
  <c r="G57" i="5"/>
  <c r="H57" i="5" s="1"/>
  <c r="G56" i="5"/>
  <c r="H56" i="5" s="1"/>
  <c r="H55" i="5"/>
  <c r="G55" i="5"/>
  <c r="G54" i="5"/>
  <c r="H54" i="5" s="1"/>
  <c r="G53" i="5"/>
  <c r="H53" i="5" s="1"/>
  <c r="G52" i="5"/>
  <c r="H52" i="5" s="1"/>
  <c r="G51" i="5"/>
  <c r="H51" i="5" s="1"/>
  <c r="H50" i="5"/>
  <c r="G50" i="5"/>
  <c r="H49" i="5"/>
  <c r="G49" i="5"/>
  <c r="G48" i="5"/>
  <c r="H48" i="5" s="1"/>
  <c r="G47" i="5"/>
  <c r="H47" i="5" s="1"/>
  <c r="G46" i="5"/>
  <c r="H46" i="5" s="1"/>
  <c r="G45" i="5"/>
  <c r="H45" i="5" s="1"/>
  <c r="H44" i="5"/>
  <c r="G44" i="5"/>
  <c r="G43" i="5"/>
  <c r="H43" i="5" s="1"/>
  <c r="G42" i="5"/>
  <c r="H42" i="5" s="1"/>
  <c r="G41" i="5"/>
  <c r="H41" i="5" s="1"/>
  <c r="H40" i="5"/>
  <c r="G40" i="5"/>
  <c r="H39" i="5"/>
  <c r="G39" i="5"/>
  <c r="G38" i="5"/>
  <c r="H38" i="5" s="1"/>
  <c r="G37" i="5"/>
  <c r="H37" i="5" s="1"/>
  <c r="G36" i="5"/>
  <c r="H36" i="5" s="1"/>
  <c r="H35" i="5"/>
  <c r="G35" i="5"/>
  <c r="G34" i="5"/>
  <c r="H34" i="5" s="1"/>
  <c r="H33" i="5"/>
  <c r="G33" i="5"/>
  <c r="G32" i="5"/>
  <c r="H32" i="5" s="1"/>
  <c r="G31" i="5"/>
  <c r="H31" i="5" s="1"/>
  <c r="H30" i="5"/>
  <c r="G30" i="5"/>
  <c r="H29" i="5"/>
  <c r="G29" i="5"/>
  <c r="G28" i="5"/>
  <c r="H28" i="5" s="1"/>
  <c r="G27" i="5"/>
  <c r="H27" i="5" s="1"/>
  <c r="G26" i="5"/>
  <c r="H26" i="5" s="1"/>
  <c r="G25" i="5"/>
  <c r="H25" i="5" s="1"/>
  <c r="H24" i="5"/>
  <c r="G24" i="5"/>
  <c r="G23" i="5"/>
  <c r="H23" i="5" s="1"/>
  <c r="G22" i="5"/>
  <c r="H22" i="5" s="1"/>
  <c r="G21" i="5"/>
  <c r="H21" i="5" s="1"/>
  <c r="H20" i="5"/>
  <c r="G20" i="5"/>
  <c r="H19" i="5"/>
  <c r="G19" i="5"/>
  <c r="G18" i="5"/>
  <c r="H18" i="5" s="1"/>
  <c r="G17" i="5"/>
  <c r="H17" i="5" s="1"/>
  <c r="G16" i="5"/>
  <c r="H16" i="5" s="1"/>
  <c r="H15" i="5"/>
  <c r="G15" i="5"/>
  <c r="G14" i="5"/>
  <c r="H14" i="5" s="1"/>
  <c r="H13" i="5"/>
  <c r="G13" i="5"/>
  <c r="G12" i="5"/>
  <c r="H12" i="5" s="1"/>
  <c r="G11" i="5"/>
  <c r="H11" i="5" s="1"/>
  <c r="H10" i="5"/>
  <c r="G10" i="5"/>
  <c r="H9" i="5"/>
  <c r="G9" i="5"/>
  <c r="H6" i="5"/>
  <c r="I6" i="5" s="1"/>
  <c r="H5" i="5"/>
  <c r="I5" i="5" s="1"/>
  <c r="C18" i="4"/>
  <c r="C17" i="4"/>
  <c r="C16" i="4"/>
  <c r="C15" i="4"/>
  <c r="C14" i="4"/>
  <c r="C13" i="4"/>
  <c r="C12" i="4"/>
  <c r="C11" i="4"/>
  <c r="C10" i="4"/>
  <c r="C9" i="4"/>
  <c r="H207" i="3"/>
  <c r="D207" i="3"/>
  <c r="H206" i="3"/>
  <c r="D206" i="3"/>
  <c r="H205" i="3"/>
  <c r="D205" i="3"/>
  <c r="H204" i="3"/>
  <c r="D204" i="3"/>
  <c r="H203" i="3"/>
  <c r="D203" i="3"/>
  <c r="H202" i="3"/>
  <c r="D202" i="3"/>
  <c r="H201" i="3"/>
  <c r="D201" i="3"/>
  <c r="H200" i="3"/>
  <c r="D200" i="3"/>
  <c r="H199" i="3"/>
  <c r="D199" i="3"/>
  <c r="H198" i="3"/>
  <c r="D198" i="3"/>
  <c r="H197" i="3"/>
  <c r="D197" i="3"/>
  <c r="H196" i="3"/>
  <c r="D196" i="3"/>
  <c r="H195" i="3"/>
  <c r="D195" i="3"/>
  <c r="H194" i="3"/>
  <c r="D194" i="3"/>
  <c r="H193" i="3"/>
  <c r="D193" i="3"/>
  <c r="H192" i="3"/>
  <c r="D192" i="3"/>
  <c r="H191" i="3"/>
  <c r="D191" i="3"/>
  <c r="H190" i="3"/>
  <c r="D190" i="3"/>
  <c r="H189" i="3"/>
  <c r="D189" i="3"/>
  <c r="H188" i="3"/>
  <c r="D188" i="3"/>
  <c r="H187" i="3"/>
  <c r="D187" i="3"/>
  <c r="H186" i="3"/>
  <c r="D186" i="3"/>
  <c r="H185" i="3"/>
  <c r="D185" i="3"/>
  <c r="H184" i="3"/>
  <c r="D184" i="3"/>
  <c r="H183" i="3"/>
  <c r="D183" i="3"/>
  <c r="H182" i="3"/>
  <c r="D182" i="3"/>
  <c r="H181" i="3"/>
  <c r="D181" i="3"/>
  <c r="H180" i="3"/>
  <c r="D180" i="3"/>
  <c r="H179" i="3"/>
  <c r="D179" i="3"/>
  <c r="H178" i="3"/>
  <c r="D178" i="3"/>
  <c r="H177" i="3"/>
  <c r="D177" i="3"/>
  <c r="H176" i="3"/>
  <c r="D176" i="3"/>
  <c r="H175" i="3"/>
  <c r="D175" i="3"/>
  <c r="H174" i="3"/>
  <c r="D174" i="3"/>
  <c r="H173" i="3"/>
  <c r="D173" i="3"/>
  <c r="H172" i="3"/>
  <c r="D172" i="3"/>
  <c r="H171" i="3"/>
  <c r="D171" i="3"/>
  <c r="H170" i="3"/>
  <c r="D170" i="3"/>
  <c r="H169" i="3"/>
  <c r="D169" i="3"/>
  <c r="H168" i="3"/>
  <c r="D168" i="3"/>
  <c r="H167" i="3"/>
  <c r="D167" i="3"/>
  <c r="H166" i="3"/>
  <c r="D166" i="3"/>
  <c r="H165" i="3"/>
  <c r="D165" i="3"/>
  <c r="H164" i="3"/>
  <c r="D164" i="3"/>
  <c r="H163" i="3"/>
  <c r="D163" i="3"/>
  <c r="H162" i="3"/>
  <c r="D162" i="3"/>
  <c r="H161" i="3"/>
  <c r="D161" i="3"/>
  <c r="H160" i="3"/>
  <c r="D160" i="3"/>
  <c r="H159" i="3"/>
  <c r="D159" i="3"/>
  <c r="H158" i="3"/>
  <c r="D158" i="3"/>
  <c r="H157" i="3"/>
  <c r="D157" i="3"/>
  <c r="H156" i="3"/>
  <c r="D156" i="3"/>
  <c r="H155" i="3"/>
  <c r="D155" i="3"/>
  <c r="H154" i="3"/>
  <c r="D154" i="3"/>
  <c r="H153" i="3"/>
  <c r="D153" i="3"/>
  <c r="H152" i="3"/>
  <c r="D152" i="3"/>
  <c r="H151" i="3"/>
  <c r="D151" i="3"/>
  <c r="H150" i="3"/>
  <c r="D150" i="3"/>
  <c r="H149" i="3"/>
  <c r="D149" i="3"/>
  <c r="H148" i="3"/>
  <c r="D148" i="3"/>
  <c r="H147" i="3"/>
  <c r="D147" i="3"/>
  <c r="H146" i="3"/>
  <c r="D146" i="3"/>
  <c r="H145" i="3"/>
  <c r="D145" i="3"/>
  <c r="H144" i="3"/>
  <c r="D144" i="3"/>
  <c r="H143" i="3"/>
  <c r="D143" i="3"/>
  <c r="H142" i="3"/>
  <c r="D142" i="3"/>
  <c r="H141" i="3"/>
  <c r="D141" i="3"/>
  <c r="H140" i="3"/>
  <c r="D140" i="3"/>
  <c r="H139" i="3"/>
  <c r="D139" i="3"/>
  <c r="H138" i="3"/>
  <c r="D138" i="3"/>
  <c r="H137" i="3"/>
  <c r="D137" i="3"/>
  <c r="H136" i="3"/>
  <c r="D136" i="3"/>
  <c r="H135" i="3"/>
  <c r="D135" i="3"/>
  <c r="H134" i="3"/>
  <c r="D134" i="3"/>
  <c r="H133" i="3"/>
  <c r="D133" i="3"/>
  <c r="H132" i="3"/>
  <c r="D132" i="3"/>
  <c r="H131" i="3"/>
  <c r="D131" i="3"/>
  <c r="H130" i="3"/>
  <c r="D130" i="3"/>
  <c r="H129" i="3"/>
  <c r="D129" i="3"/>
  <c r="H128" i="3"/>
  <c r="D128" i="3"/>
  <c r="H127" i="3"/>
  <c r="D127" i="3"/>
  <c r="H126" i="3"/>
  <c r="D126" i="3"/>
  <c r="H125" i="3"/>
  <c r="D125" i="3"/>
  <c r="H124" i="3"/>
  <c r="D124" i="3"/>
  <c r="H123" i="3"/>
  <c r="D123" i="3"/>
  <c r="H122" i="3"/>
  <c r="D122" i="3"/>
  <c r="H121" i="3"/>
  <c r="D121" i="3"/>
  <c r="H120" i="3"/>
  <c r="D120" i="3"/>
  <c r="H119" i="3"/>
  <c r="D119" i="3"/>
  <c r="H118" i="3"/>
  <c r="D118" i="3"/>
  <c r="H117" i="3"/>
  <c r="D117" i="3"/>
  <c r="H116" i="3"/>
  <c r="D116" i="3"/>
  <c r="H115" i="3"/>
  <c r="D115" i="3"/>
  <c r="H114" i="3"/>
  <c r="D114" i="3"/>
  <c r="H113" i="3"/>
  <c r="D113" i="3"/>
  <c r="H112" i="3"/>
  <c r="D112" i="3"/>
  <c r="H111" i="3"/>
  <c r="D111" i="3"/>
  <c r="H110" i="3"/>
  <c r="D110" i="3"/>
  <c r="H109" i="3"/>
  <c r="D109" i="3"/>
  <c r="H108" i="3"/>
  <c r="D108" i="3"/>
  <c r="H107" i="3"/>
  <c r="D107" i="3"/>
  <c r="H106" i="3"/>
  <c r="D106" i="3"/>
  <c r="H105" i="3"/>
  <c r="D105" i="3"/>
  <c r="H104" i="3"/>
  <c r="D104" i="3"/>
  <c r="H103" i="3"/>
  <c r="D103" i="3"/>
  <c r="H102" i="3"/>
  <c r="D102" i="3"/>
  <c r="H101" i="3"/>
  <c r="D101" i="3"/>
  <c r="H100" i="3"/>
  <c r="D100" i="3"/>
  <c r="H99" i="3"/>
  <c r="D99" i="3"/>
  <c r="H98" i="3"/>
  <c r="D98" i="3"/>
  <c r="H97" i="3"/>
  <c r="D97" i="3"/>
  <c r="H96" i="3"/>
  <c r="D96" i="3"/>
  <c r="H95" i="3"/>
  <c r="D95" i="3"/>
  <c r="H94" i="3"/>
  <c r="D94" i="3"/>
  <c r="H93" i="3"/>
  <c r="D93" i="3"/>
  <c r="H92" i="3"/>
  <c r="D92" i="3"/>
  <c r="H91" i="3"/>
  <c r="D91" i="3"/>
  <c r="H90" i="3"/>
  <c r="D90" i="3"/>
  <c r="H89" i="3"/>
  <c r="D89" i="3"/>
  <c r="H88" i="3"/>
  <c r="D88" i="3"/>
  <c r="H87" i="3"/>
  <c r="D87" i="3"/>
  <c r="H86" i="3"/>
  <c r="D86" i="3"/>
  <c r="H85" i="3"/>
  <c r="D85" i="3"/>
  <c r="H84" i="3"/>
  <c r="D84" i="3"/>
  <c r="H83" i="3"/>
  <c r="D83" i="3"/>
  <c r="H82" i="3"/>
  <c r="D82" i="3"/>
  <c r="H81" i="3"/>
  <c r="D81" i="3"/>
  <c r="H80" i="3"/>
  <c r="D80" i="3"/>
  <c r="H79" i="3"/>
  <c r="D79" i="3"/>
  <c r="H78" i="3"/>
  <c r="D78" i="3"/>
  <c r="H77" i="3"/>
  <c r="D77" i="3"/>
  <c r="H76" i="3"/>
  <c r="D76" i="3"/>
  <c r="H75" i="3"/>
  <c r="D75" i="3"/>
  <c r="H74" i="3"/>
  <c r="D74" i="3"/>
  <c r="H73" i="3"/>
  <c r="D73" i="3"/>
  <c r="H72" i="3"/>
  <c r="D72" i="3"/>
  <c r="H71" i="3"/>
  <c r="D71" i="3"/>
  <c r="H70" i="3"/>
  <c r="D70" i="3"/>
  <c r="H69" i="3"/>
  <c r="D69" i="3"/>
  <c r="H68" i="3"/>
  <c r="D68" i="3"/>
  <c r="H67" i="3"/>
  <c r="D67" i="3"/>
  <c r="H66" i="3"/>
  <c r="D66" i="3"/>
  <c r="H65" i="3"/>
  <c r="D65" i="3"/>
  <c r="H64" i="3"/>
  <c r="D64" i="3"/>
  <c r="H63" i="3"/>
  <c r="D63" i="3"/>
  <c r="H62" i="3"/>
  <c r="D62" i="3"/>
  <c r="H61" i="3"/>
  <c r="D61" i="3"/>
  <c r="H60" i="3"/>
  <c r="D60" i="3"/>
  <c r="H59" i="3"/>
  <c r="D59" i="3"/>
  <c r="H58" i="3"/>
  <c r="D58" i="3"/>
  <c r="H57" i="3"/>
  <c r="D57" i="3"/>
  <c r="H56" i="3"/>
  <c r="D56" i="3"/>
  <c r="H55" i="3"/>
  <c r="D55" i="3"/>
  <c r="H54" i="3"/>
  <c r="D54" i="3"/>
  <c r="H53" i="3"/>
  <c r="D53" i="3"/>
  <c r="H52" i="3"/>
  <c r="D52" i="3"/>
  <c r="H51" i="3"/>
  <c r="D51" i="3"/>
  <c r="H50" i="3"/>
  <c r="D50" i="3"/>
  <c r="H49" i="3"/>
  <c r="D49" i="3"/>
  <c r="H48" i="3"/>
  <c r="D48" i="3"/>
  <c r="H47" i="3"/>
  <c r="D47" i="3"/>
  <c r="H46" i="3"/>
  <c r="D46" i="3"/>
  <c r="H45" i="3"/>
  <c r="D45" i="3"/>
  <c r="H44" i="3"/>
  <c r="D44" i="3"/>
  <c r="H43" i="3"/>
  <c r="D43" i="3"/>
  <c r="H42" i="3"/>
  <c r="D42" i="3"/>
  <c r="H41" i="3"/>
  <c r="D41" i="3"/>
  <c r="H40" i="3"/>
  <c r="D40" i="3"/>
  <c r="H39" i="3"/>
  <c r="D39" i="3"/>
  <c r="H38" i="3"/>
  <c r="D38" i="3"/>
  <c r="H37" i="3"/>
  <c r="D37" i="3"/>
  <c r="H36" i="3"/>
  <c r="D36" i="3"/>
  <c r="H35" i="3"/>
  <c r="D35" i="3"/>
  <c r="H34" i="3"/>
  <c r="D34" i="3"/>
  <c r="H33" i="3"/>
  <c r="D33" i="3"/>
  <c r="H32" i="3"/>
  <c r="D32" i="3"/>
  <c r="H31" i="3"/>
  <c r="D31" i="3"/>
  <c r="H30" i="3"/>
  <c r="D30" i="3"/>
  <c r="H29" i="3"/>
  <c r="D29" i="3"/>
  <c r="H28" i="3"/>
  <c r="D28" i="3"/>
  <c r="H27" i="3"/>
  <c r="D27" i="3"/>
  <c r="H26" i="3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D11" i="3"/>
  <c r="H10" i="3"/>
  <c r="D10" i="3"/>
  <c r="H9" i="3"/>
  <c r="D9" i="3"/>
  <c r="F6" i="3"/>
  <c r="E6" i="3"/>
  <c r="F5" i="3"/>
  <c r="E5" i="3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6" i="2"/>
  <c r="E5" i="2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D6" i="1"/>
  <c r="E6" i="1" s="1"/>
  <c r="F6" i="1" s="1"/>
  <c r="D5" i="1"/>
  <c r="E5" i="1" s="1"/>
  <c r="F5" i="1" s="1"/>
  <c r="E5" i="4" l="1"/>
  <c r="E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CHECK</author>
  </authors>
  <commentList>
    <comment ref="B4" authorId="0" shapeId="0" xr:uid="{34FE0322-5B10-460C-A34A-3E39A88E4E8C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3E74BE81-D9B6-4C40-8D70-38407102D7E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66FB3368-1A8E-4DB1-AD14-3001D58C3F56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C5A9B273-3DCD-40C5-A21A-B844430D020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D13B169A-A02A-4CCA-8A0F-3346C510D634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7FD22E63-9E50-4CB1-92F7-41A33C85E01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1621F2D4-A5CA-4A8F-B045-9203EF036FD6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CD6FE515-95D8-422F-93B3-A1482135956C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<sst xmlns="http://schemas.openxmlformats.org/spreadsheetml/2006/main" count="1898" uniqueCount="282">
  <si>
    <t>price_momentum 계산 과정</t>
  </si>
  <si>
    <t>신호일</t>
  </si>
  <si>
    <t>공통 signal_date 수</t>
  </si>
  <si>
    <t>종목명</t>
  </si>
  <si>
    <t>티커</t>
  </si>
  <si>
    <t>신호일 종가</t>
  </si>
  <si>
    <t>252일 종가고가 수식</t>
  </si>
  <si>
    <t>비율 수식</t>
  </si>
  <si>
    <t>score 수식</t>
  </si>
  <si>
    <t>score 코드</t>
  </si>
  <si>
    <t>판정</t>
  </si>
  <si>
    <t>삼성전자</t>
  </si>
  <si>
    <t>A005930</t>
  </si>
  <si>
    <t>통과</t>
  </si>
  <si>
    <t>SK하이닉스</t>
  </si>
  <si>
    <t>A000660</t>
  </si>
  <si>
    <t>raw_date</t>
  </si>
  <si>
    <t>raw_close</t>
  </si>
  <si>
    <t>누적고가 수식</t>
  </si>
  <si>
    <t>최종고가일 수식</t>
  </si>
  <si>
    <t>earnings_momentum 계산 과정</t>
  </si>
  <si>
    <t>12MF OP</t>
  </si>
  <si>
    <t>전월 12MF OP</t>
  </si>
  <si>
    <t>성장률 수식</t>
  </si>
  <si>
    <t>계산가능</t>
  </si>
  <si>
    <t>A207940</t>
  </si>
  <si>
    <t>A373220</t>
  </si>
  <si>
    <t>A012450</t>
  </si>
  <si>
    <t>A005380</t>
  </si>
  <si>
    <t>A105560</t>
  </si>
  <si>
    <t>A000270</t>
  </si>
  <si>
    <t>A329180</t>
  </si>
  <si>
    <t>A068270</t>
  </si>
  <si>
    <t>A034020</t>
  </si>
  <si>
    <t>A035420</t>
  </si>
  <si>
    <t>A055550</t>
  </si>
  <si>
    <t>A028260</t>
  </si>
  <si>
    <t>A012330</t>
  </si>
  <si>
    <t>A032830</t>
  </si>
  <si>
    <t>A042660</t>
  </si>
  <si>
    <t>A009540</t>
  </si>
  <si>
    <t>A011200</t>
  </si>
  <si>
    <t>A035720</t>
  </si>
  <si>
    <t>A086790</t>
  </si>
  <si>
    <t>A005490</t>
  </si>
  <si>
    <t>A138040</t>
  </si>
  <si>
    <t>A000810</t>
  </si>
  <si>
    <t>A064350</t>
  </si>
  <si>
    <t>A402340</t>
  </si>
  <si>
    <t>A015760</t>
  </si>
  <si>
    <t>A259960</t>
  </si>
  <si>
    <t>A010130</t>
  </si>
  <si>
    <t>A010140</t>
  </si>
  <si>
    <t>A316140</t>
  </si>
  <si>
    <t>A267260</t>
  </si>
  <si>
    <t>A033780</t>
  </si>
  <si>
    <t>A051910</t>
  </si>
  <si>
    <t>A096770</t>
  </si>
  <si>
    <t>A034730</t>
  </si>
  <si>
    <t>A323410</t>
  </si>
  <si>
    <t>A024110</t>
  </si>
  <si>
    <t>A030200</t>
  </si>
  <si>
    <t>A352820</t>
  </si>
  <si>
    <t>A066570</t>
  </si>
  <si>
    <t>A006400</t>
  </si>
  <si>
    <t>A003550</t>
  </si>
  <si>
    <t>A017670</t>
  </si>
  <si>
    <t>A006800</t>
  </si>
  <si>
    <t>A018260</t>
  </si>
  <si>
    <t>A267250</t>
  </si>
  <si>
    <t>A079550</t>
  </si>
  <si>
    <t>A272210</t>
  </si>
  <si>
    <t>A009150</t>
  </si>
  <si>
    <t>A000150</t>
  </si>
  <si>
    <t>A003670</t>
  </si>
  <si>
    <t>A086280</t>
  </si>
  <si>
    <t>A047050</t>
  </si>
  <si>
    <t>A003230</t>
  </si>
  <si>
    <t>A443060</t>
  </si>
  <si>
    <t>A000100</t>
  </si>
  <si>
    <t>A047810</t>
  </si>
  <si>
    <t>A003490</t>
  </si>
  <si>
    <t>A090430</t>
  </si>
  <si>
    <t>A000720</t>
  </si>
  <si>
    <t>A377300</t>
  </si>
  <si>
    <t>A005830</t>
  </si>
  <si>
    <t>A010120</t>
  </si>
  <si>
    <t>A326030</t>
  </si>
  <si>
    <t>A000880</t>
  </si>
  <si>
    <t>A071050</t>
  </si>
  <si>
    <t>A021240</t>
  </si>
  <si>
    <t>A010950</t>
  </si>
  <si>
    <t>A009830</t>
  </si>
  <si>
    <t>A298040</t>
  </si>
  <si>
    <t>A005940</t>
  </si>
  <si>
    <t>A029780</t>
  </si>
  <si>
    <t>A006260</t>
  </si>
  <si>
    <t>A016360</t>
  </si>
  <si>
    <t>A032640</t>
  </si>
  <si>
    <t>A051900</t>
  </si>
  <si>
    <t>A251270</t>
  </si>
  <si>
    <t>A278470</t>
  </si>
  <si>
    <t>A064400</t>
  </si>
  <si>
    <t>A161390</t>
  </si>
  <si>
    <t>A241560</t>
  </si>
  <si>
    <t>A039490</t>
  </si>
  <si>
    <t>A001040</t>
  </si>
  <si>
    <t>A028050</t>
  </si>
  <si>
    <t>A271560</t>
  </si>
  <si>
    <t>A034220</t>
  </si>
  <si>
    <t>A078930</t>
  </si>
  <si>
    <t>A004020</t>
  </si>
  <si>
    <t>A307950</t>
  </si>
  <si>
    <t>A128940</t>
  </si>
  <si>
    <t>A036570</t>
  </si>
  <si>
    <t>A175330</t>
  </si>
  <si>
    <t>A138930</t>
  </si>
  <si>
    <t>A097950</t>
  </si>
  <si>
    <t>A035250</t>
  </si>
  <si>
    <t>A011790</t>
  </si>
  <si>
    <t>A011070</t>
  </si>
  <si>
    <t>A036460</t>
  </si>
  <si>
    <t>A007660</t>
  </si>
  <si>
    <t>A011780</t>
  </si>
  <si>
    <t>A004990</t>
  </si>
  <si>
    <t>A450080</t>
  </si>
  <si>
    <t>A001440</t>
  </si>
  <si>
    <t>A383220</t>
  </si>
  <si>
    <t>A002380</t>
  </si>
  <si>
    <t>A011170</t>
  </si>
  <si>
    <t>A088350</t>
  </si>
  <si>
    <t>A052690</t>
  </si>
  <si>
    <t>A192820</t>
  </si>
  <si>
    <t>A111770</t>
  </si>
  <si>
    <t>A012750</t>
  </si>
  <si>
    <t>A004370</t>
  </si>
  <si>
    <t>A103140</t>
  </si>
  <si>
    <t>A082740</t>
  </si>
  <si>
    <t>A139480</t>
  </si>
  <si>
    <t>A001450</t>
  </si>
  <si>
    <t>A030000</t>
  </si>
  <si>
    <t>A023530</t>
  </si>
  <si>
    <t>A161890</t>
  </si>
  <si>
    <t>A112610</t>
  </si>
  <si>
    <t>A081660</t>
  </si>
  <si>
    <t>A018880</t>
  </si>
  <si>
    <t>A062040</t>
  </si>
  <si>
    <t>A006360</t>
  </si>
  <si>
    <t>A008770</t>
  </si>
  <si>
    <t>A282330</t>
  </si>
  <si>
    <t>A028670</t>
  </si>
  <si>
    <t>A000120</t>
  </si>
  <si>
    <t>A051600</t>
  </si>
  <si>
    <t>A375500</t>
  </si>
  <si>
    <t>A006040</t>
  </si>
  <si>
    <t>A139130</t>
  </si>
  <si>
    <t>A069620</t>
  </si>
  <si>
    <t>A047040</t>
  </si>
  <si>
    <t>A066970</t>
  </si>
  <si>
    <t>A014680</t>
  </si>
  <si>
    <t>A000240</t>
  </si>
  <si>
    <t>A004170</t>
  </si>
  <si>
    <t>A361610</t>
  </si>
  <si>
    <t>A069960</t>
  </si>
  <si>
    <t>A204320</t>
  </si>
  <si>
    <t>A006280</t>
  </si>
  <si>
    <t>A010060</t>
  </si>
  <si>
    <t>A005850</t>
  </si>
  <si>
    <t>A071970</t>
  </si>
  <si>
    <t>A000080</t>
  </si>
  <si>
    <t>A007070</t>
  </si>
  <si>
    <t>A009420</t>
  </si>
  <si>
    <t>A001800</t>
  </si>
  <si>
    <t>A300720</t>
  </si>
  <si>
    <t>A073240</t>
  </si>
  <si>
    <t>A034230</t>
  </si>
  <si>
    <t>A011210</t>
  </si>
  <si>
    <t>A185750</t>
  </si>
  <si>
    <t>A280360</t>
  </si>
  <si>
    <t>A298020</t>
  </si>
  <si>
    <t>A005300</t>
  </si>
  <si>
    <t>A017960</t>
  </si>
  <si>
    <t>A192080</t>
  </si>
  <si>
    <t>A009240</t>
  </si>
  <si>
    <t>A285130</t>
  </si>
  <si>
    <t>A004000</t>
  </si>
  <si>
    <t>A000210</t>
  </si>
  <si>
    <t>A120110</t>
  </si>
  <si>
    <t>A114090</t>
  </si>
  <si>
    <t>A071320</t>
  </si>
  <si>
    <t>A298050</t>
  </si>
  <si>
    <t>A001430</t>
  </si>
  <si>
    <t>A006650</t>
  </si>
  <si>
    <t>dividend_yield 계산 과정</t>
  </si>
  <si>
    <t>DPS_TTM</t>
  </si>
  <si>
    <t>종가</t>
  </si>
  <si>
    <t>배당수익률 수식</t>
  </si>
  <si>
    <t>bonus 수식</t>
  </si>
  <si>
    <t>연도1배당</t>
  </si>
  <si>
    <t>연도2배당</t>
  </si>
  <si>
    <t>연도3배당</t>
  </si>
  <si>
    <t>A180640</t>
  </si>
  <si>
    <t>A042700</t>
  </si>
  <si>
    <t>A302440</t>
  </si>
  <si>
    <t>A022100</t>
  </si>
  <si>
    <t>A454910</t>
  </si>
  <si>
    <t>A017800</t>
  </si>
  <si>
    <t>A008930</t>
  </si>
  <si>
    <t>A026960</t>
  </si>
  <si>
    <t>A002790</t>
  </si>
  <si>
    <t>A009970</t>
  </si>
  <si>
    <t>A007310</t>
  </si>
  <si>
    <t>A003090</t>
  </si>
  <si>
    <t>A137310</t>
  </si>
  <si>
    <t>A007340</t>
  </si>
  <si>
    <t>A457190</t>
  </si>
  <si>
    <t>A003240</t>
  </si>
  <si>
    <t>A004490</t>
  </si>
  <si>
    <t>A003030</t>
  </si>
  <si>
    <t>A014820</t>
  </si>
  <si>
    <t>A002840</t>
  </si>
  <si>
    <t>A000670</t>
  </si>
  <si>
    <t>A005250</t>
  </si>
  <si>
    <t>A008730</t>
  </si>
  <si>
    <t>A268280</t>
  </si>
  <si>
    <t>A001680</t>
  </si>
  <si>
    <t>A069260</t>
  </si>
  <si>
    <t>A002030</t>
  </si>
  <si>
    <t>A005420</t>
  </si>
  <si>
    <t>A093370</t>
  </si>
  <si>
    <t>retail_flow 계산 과정</t>
  </si>
  <si>
    <t>섹터</t>
  </si>
  <si>
    <t>섹터평균 252일 개인수급</t>
  </si>
  <si>
    <t>G45</t>
  </si>
  <si>
    <t>점수용 metric(-평균)</t>
  </si>
  <si>
    <t>섹터점수 수식</t>
  </si>
  <si>
    <t>G10</t>
  </si>
  <si>
    <t>G15</t>
  </si>
  <si>
    <t>G20</t>
  </si>
  <si>
    <t>G25</t>
  </si>
  <si>
    <t>G30</t>
  </si>
  <si>
    <t>G35</t>
  </si>
  <si>
    <t>G40</t>
  </si>
  <si>
    <t>G50</t>
  </si>
  <si>
    <t>G55</t>
  </si>
  <si>
    <t>value 계산 과정</t>
  </si>
  <si>
    <t>원천재무월</t>
  </si>
  <si>
    <t>FCF</t>
  </si>
  <si>
    <t>시가총액</t>
  </si>
  <si>
    <t>이자발생부채</t>
  </si>
  <si>
    <t>당좌자산</t>
  </si>
  <si>
    <t>TEV 수식</t>
  </si>
  <si>
    <t>FCF/TEV 수식</t>
  </si>
  <si>
    <t>2025-12</t>
  </si>
  <si>
    <t>월말</t>
    <phoneticPr fontId="5" type="noConversion"/>
  </si>
  <si>
    <t xml:space="preserve">     Refresh     </t>
  </si>
  <si>
    <t>Time Series (Company)</t>
  </si>
  <si>
    <t>M</t>
  </si>
  <si>
    <t>Ascending</t>
  </si>
  <si>
    <t>Korean</t>
  </si>
  <si>
    <t>S102100</t>
  </si>
  <si>
    <t>Local</t>
  </si>
  <si>
    <t>Frequency</t>
  </si>
  <si>
    <t>Period(From)</t>
  </si>
  <si>
    <t>Period(To)</t>
  </si>
  <si>
    <t>CPD [20260528]</t>
    <phoneticPr fontId="5" type="noConversion"/>
  </si>
  <si>
    <t>M101407.M</t>
  </si>
  <si>
    <t>M113800.M</t>
  </si>
  <si>
    <t>M111200.M</t>
  </si>
  <si>
    <t>D A T E</t>
    <phoneticPr fontId="5" type="noConversion"/>
  </si>
  <si>
    <t>Code</t>
    <phoneticPr fontId="5" type="noConversion"/>
  </si>
  <si>
    <t>Name</t>
    <phoneticPr fontId="5" type="noConversion"/>
  </si>
  <si>
    <t>Item Code</t>
    <phoneticPr fontId="5" type="noConversion"/>
  </si>
  <si>
    <t>Unit</t>
    <phoneticPr fontId="5" type="noConversion"/>
  </si>
  <si>
    <t>Base Date</t>
    <phoneticPr fontId="5" type="noConversion"/>
  </si>
  <si>
    <t>삼성전자</t>
    <phoneticPr fontId="5" type="noConversion"/>
  </si>
  <si>
    <t>시가총액</t>
    <phoneticPr fontId="5" type="noConversion"/>
  </si>
  <si>
    <t>NFQ0</t>
  </si>
  <si>
    <t>Last Update : 2026-05-28 15:23:27</t>
    <phoneticPr fontId="5" type="noConversion"/>
  </si>
  <si>
    <t>FCF2(TTM)</t>
    <phoneticPr fontId="5" type="noConversion"/>
  </si>
  <si>
    <t>이자발생부채</t>
    <phoneticPr fontId="5" type="noConversion"/>
  </si>
  <si>
    <t>당좌자산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</si>
</sst>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\ h:mm:ss"/>
  </numFmts>
  <fonts count="13" x14ac:knownFonts="1">
    <font>
      <sz val="11"/>
      <color theme="1"/>
      <name val="맑은 고딕"/>
      <family val="2"/>
      <scheme val="minor"/>
    </font>
    <font>
      <b/>
      <sz val="15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9"/>
      <color rgb="FFFFFFFF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  <fill>
      <patternFill patternType="solid">
        <fgColor rgb="FF5A7AB2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4">
    <xf numFmtId="0" fontId="0" fillId="0" borderId="0"/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0" fillId="4" borderId="0" xfId="0" applyFill="1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0" fontId="0" fillId="4" borderId="1" xfId="2" applyNumberFormat="1" applyFont="1" applyFill="1" applyBorder="1" applyAlignment="1">
      <alignment vertical="center" wrapText="1"/>
    </xf>
    <xf numFmtId="10" fontId="0" fillId="4" borderId="0" xfId="2" applyNumberFormat="1" applyFont="1" applyFill="1" applyAlignment="1"/>
    <xf numFmtId="41" fontId="0" fillId="0" borderId="1" xfId="1" applyFont="1" applyBorder="1" applyAlignment="1">
      <alignment vertical="center" wrapText="1"/>
    </xf>
    <xf numFmtId="41" fontId="0" fillId="4" borderId="1" xfId="1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76" fontId="0" fillId="5" borderId="1" xfId="0" applyNumberFormat="1" applyFill="1" applyBorder="1" applyAlignment="1">
      <alignment vertical="center" wrapText="1"/>
    </xf>
    <xf numFmtId="41" fontId="0" fillId="5" borderId="1" xfId="1" applyFont="1" applyFill="1" applyBorder="1" applyAlignment="1">
      <alignment vertical="center" wrapText="1"/>
    </xf>
    <xf numFmtId="0" fontId="0" fillId="5" borderId="0" xfId="0" applyFill="1"/>
    <xf numFmtId="41" fontId="0" fillId="4" borderId="0" xfId="1" applyFont="1" applyFill="1" applyAlignment="1"/>
    <xf numFmtId="41" fontId="0" fillId="0" borderId="0" xfId="1" applyFont="1" applyAlignment="1"/>
    <xf numFmtId="0" fontId="7" fillId="6" borderId="0" xfId="3" applyFont="1" applyFill="1" applyAlignment="1">
      <alignment horizontal="center" vertical="center"/>
    </xf>
    <xf numFmtId="0" fontId="8" fillId="0" borderId="0" xfId="0" applyFont="1"/>
    <xf numFmtId="49" fontId="0" fillId="0" borderId="0" xfId="0" applyNumberFormat="1"/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/>
    <xf numFmtId="0" fontId="11" fillId="0" borderId="4" xfId="0" applyFont="1" applyBorder="1" applyAlignment="1">
      <alignment horizontal="right"/>
    </xf>
    <xf numFmtId="14" fontId="0" fillId="0" borderId="0" xfId="0" applyNumberFormat="1" applyAlignment="1">
      <alignment horizontal="center"/>
    </xf>
    <xf numFmtId="3" fontId="0" fillId="0" borderId="0" xfId="0" applyNumberFormat="1"/>
    <xf numFmtId="0" fontId="11" fillId="0" borderId="2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49" fontId="0" fillId="0" borderId="6" xfId="0" applyNumberFormat="1" applyBorder="1"/>
    <xf numFmtId="49" fontId="0" fillId="0" borderId="7" xfId="0" applyNumberForma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3" xfId="0" applyBorder="1"/>
    <xf numFmtId="3" fontId="12" fillId="0" borderId="0" xfId="0" applyNumberFormat="1" applyFont="1"/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2"/>
  <sheetViews>
    <sheetView tabSelected="1" workbookViewId="0">
      <pane ySplit="4" topLeftCell="A5" activePane="bottomLeft" state="frozen"/>
      <selection pane="bottomLeft" activeCell="F10" sqref="F10"/>
    </sheetView>
  </sheetViews>
  <sheetFormatPr defaultRowHeight="16.5" x14ac:dyDescent="0.3"/>
  <cols>
    <col min="1" max="1" width="14" customWidth="1"/>
    <col min="2" max="2" width="18.125" bestFit="1" customWidth="1"/>
    <col min="3" max="3" width="18.75" bestFit="1" customWidth="1"/>
    <col min="4" max="8" width="16" customWidth="1"/>
  </cols>
  <sheetData>
    <row r="1" spans="1:8" ht="24" x14ac:dyDescent="0.45">
      <c r="A1" s="1" t="s">
        <v>0</v>
      </c>
    </row>
    <row r="2" spans="1:8" x14ac:dyDescent="0.3">
      <c r="A2" t="s">
        <v>1</v>
      </c>
      <c r="B2" s="2">
        <v>46142</v>
      </c>
      <c r="C2" t="s">
        <v>2</v>
      </c>
      <c r="D2">
        <v>299</v>
      </c>
    </row>
    <row r="4" spans="1:8" ht="33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3">
      <c r="A5" t="s">
        <v>11</v>
      </c>
      <c r="B5" t="s">
        <v>12</v>
      </c>
      <c r="C5" s="18">
        <v>220500</v>
      </c>
      <c r="D5" s="17">
        <f>MAX($D$9:$D$260)</f>
        <v>226000</v>
      </c>
      <c r="E5" s="10">
        <f>IFERROR(C5/D5,NA())</f>
        <v>0.97566371681415931</v>
      </c>
      <c r="F5" s="4">
        <f>IF(E5&gt;0.8,1,0)</f>
        <v>1</v>
      </c>
      <c r="G5">
        <v>1</v>
      </c>
      <c r="H5" t="s">
        <v>13</v>
      </c>
    </row>
    <row r="6" spans="1:8" x14ac:dyDescent="0.3">
      <c r="A6" t="s">
        <v>14</v>
      </c>
      <c r="B6" t="s">
        <v>15</v>
      </c>
      <c r="C6" s="18">
        <v>1286000</v>
      </c>
      <c r="D6" s="17">
        <f>MAX($D$261:$D$512)</f>
        <v>1300000</v>
      </c>
      <c r="E6" s="10">
        <f>IFERROR(C6/D6,NA())</f>
        <v>0.98923076923076925</v>
      </c>
      <c r="F6" s="4">
        <f>IF(E6&gt;0.8,1,0)</f>
        <v>1</v>
      </c>
      <c r="G6">
        <v>1</v>
      </c>
      <c r="H6" t="s">
        <v>13</v>
      </c>
    </row>
    <row r="8" spans="1:8" x14ac:dyDescent="0.3">
      <c r="A8" s="5" t="s">
        <v>3</v>
      </c>
      <c r="B8" s="5" t="s">
        <v>4</v>
      </c>
      <c r="C8" s="5" t="s">
        <v>16</v>
      </c>
      <c r="D8" s="5" t="s">
        <v>17</v>
      </c>
      <c r="E8" s="5" t="s">
        <v>18</v>
      </c>
      <c r="F8" s="5" t="s">
        <v>19</v>
      </c>
    </row>
    <row r="9" spans="1:8" x14ac:dyDescent="0.3">
      <c r="A9" s="6" t="s">
        <v>11</v>
      </c>
      <c r="B9" s="6" t="s">
        <v>12</v>
      </c>
      <c r="C9" s="7">
        <v>45765</v>
      </c>
      <c r="D9" s="11">
        <v>55300</v>
      </c>
      <c r="E9" s="12">
        <f>MAX($D$9:D9)</f>
        <v>55300</v>
      </c>
      <c r="F9" s="8" t="b">
        <f t="shared" ref="F9:F72" si="0">D9=MAX($D$9:$D$260)</f>
        <v>0</v>
      </c>
    </row>
    <row r="10" spans="1:8" x14ac:dyDescent="0.3">
      <c r="A10" s="6" t="s">
        <v>11</v>
      </c>
      <c r="B10" s="6" t="s">
        <v>12</v>
      </c>
      <c r="C10" s="7">
        <v>45768</v>
      </c>
      <c r="D10" s="11">
        <v>55400</v>
      </c>
      <c r="E10" s="12">
        <f>MAX($D$9:D10)</f>
        <v>55400</v>
      </c>
      <c r="F10" s="8" t="b">
        <f t="shared" si="0"/>
        <v>0</v>
      </c>
    </row>
    <row r="11" spans="1:8" x14ac:dyDescent="0.3">
      <c r="A11" s="6" t="s">
        <v>11</v>
      </c>
      <c r="B11" s="6" t="s">
        <v>12</v>
      </c>
      <c r="C11" s="7">
        <v>45769</v>
      </c>
      <c r="D11" s="11">
        <v>55000</v>
      </c>
      <c r="E11" s="12">
        <f>MAX($D$9:D11)</f>
        <v>55400</v>
      </c>
      <c r="F11" s="8" t="b">
        <f t="shared" si="0"/>
        <v>0</v>
      </c>
    </row>
    <row r="12" spans="1:8" x14ac:dyDescent="0.3">
      <c r="A12" s="6" t="s">
        <v>11</v>
      </c>
      <c r="B12" s="6" t="s">
        <v>12</v>
      </c>
      <c r="C12" s="7">
        <v>45770</v>
      </c>
      <c r="D12" s="11">
        <v>55700</v>
      </c>
      <c r="E12" s="12">
        <f>MAX($D$9:D12)</f>
        <v>55700</v>
      </c>
      <c r="F12" s="8" t="b">
        <f t="shared" si="0"/>
        <v>0</v>
      </c>
    </row>
    <row r="13" spans="1:8" x14ac:dyDescent="0.3">
      <c r="A13" s="6" t="s">
        <v>11</v>
      </c>
      <c r="B13" s="6" t="s">
        <v>12</v>
      </c>
      <c r="C13" s="7">
        <v>45771</v>
      </c>
      <c r="D13" s="11">
        <v>55700</v>
      </c>
      <c r="E13" s="12">
        <f>MAX($D$9:D13)</f>
        <v>55700</v>
      </c>
      <c r="F13" s="8" t="b">
        <f t="shared" si="0"/>
        <v>0</v>
      </c>
    </row>
    <row r="14" spans="1:8" x14ac:dyDescent="0.3">
      <c r="A14" s="6" t="s">
        <v>11</v>
      </c>
      <c r="B14" s="6" t="s">
        <v>12</v>
      </c>
      <c r="C14" s="7">
        <v>45772</v>
      </c>
      <c r="D14" s="11">
        <v>55700</v>
      </c>
      <c r="E14" s="12">
        <f>MAX($D$9:D14)</f>
        <v>55700</v>
      </c>
      <c r="F14" s="8" t="b">
        <f t="shared" si="0"/>
        <v>0</v>
      </c>
    </row>
    <row r="15" spans="1:8" x14ac:dyDescent="0.3">
      <c r="A15" s="6" t="s">
        <v>11</v>
      </c>
      <c r="B15" s="6" t="s">
        <v>12</v>
      </c>
      <c r="C15" s="7">
        <v>45775</v>
      </c>
      <c r="D15" s="11">
        <v>55800</v>
      </c>
      <c r="E15" s="12">
        <f>MAX($D$9:D15)</f>
        <v>55800</v>
      </c>
      <c r="F15" s="8" t="b">
        <f t="shared" si="0"/>
        <v>0</v>
      </c>
    </row>
    <row r="16" spans="1:8" x14ac:dyDescent="0.3">
      <c r="A16" s="6" t="s">
        <v>11</v>
      </c>
      <c r="B16" s="6" t="s">
        <v>12</v>
      </c>
      <c r="C16" s="7">
        <v>45776</v>
      </c>
      <c r="D16" s="11">
        <v>55800</v>
      </c>
      <c r="E16" s="12">
        <f>MAX($D$9:D16)</f>
        <v>55800</v>
      </c>
      <c r="F16" s="8" t="b">
        <f t="shared" si="0"/>
        <v>0</v>
      </c>
    </row>
    <row r="17" spans="1:6" x14ac:dyDescent="0.3">
      <c r="A17" s="6" t="s">
        <v>11</v>
      </c>
      <c r="B17" s="6" t="s">
        <v>12</v>
      </c>
      <c r="C17" s="7">
        <v>45777</v>
      </c>
      <c r="D17" s="11">
        <v>55500</v>
      </c>
      <c r="E17" s="12">
        <f>MAX($D$9:D17)</f>
        <v>55800</v>
      </c>
      <c r="F17" s="8" t="b">
        <f t="shared" si="0"/>
        <v>0</v>
      </c>
    </row>
    <row r="18" spans="1:6" x14ac:dyDescent="0.3">
      <c r="A18" s="6" t="s">
        <v>11</v>
      </c>
      <c r="B18" s="6" t="s">
        <v>12</v>
      </c>
      <c r="C18" s="7">
        <v>45779</v>
      </c>
      <c r="D18" s="11">
        <v>54300</v>
      </c>
      <c r="E18" s="12">
        <f>MAX($D$9:D18)</f>
        <v>55800</v>
      </c>
      <c r="F18" s="8" t="b">
        <f t="shared" si="0"/>
        <v>0</v>
      </c>
    </row>
    <row r="19" spans="1:6" x14ac:dyDescent="0.3">
      <c r="A19" s="6" t="s">
        <v>11</v>
      </c>
      <c r="B19" s="6" t="s">
        <v>12</v>
      </c>
      <c r="C19" s="7">
        <v>45784</v>
      </c>
      <c r="D19" s="11">
        <v>54600</v>
      </c>
      <c r="E19" s="12">
        <f>MAX($D$9:D19)</f>
        <v>55800</v>
      </c>
      <c r="F19" s="8" t="b">
        <f t="shared" si="0"/>
        <v>0</v>
      </c>
    </row>
    <row r="20" spans="1:6" x14ac:dyDescent="0.3">
      <c r="A20" s="6" t="s">
        <v>11</v>
      </c>
      <c r="B20" s="6" t="s">
        <v>12</v>
      </c>
      <c r="C20" s="7">
        <v>45785</v>
      </c>
      <c r="D20" s="11">
        <v>54600</v>
      </c>
      <c r="E20" s="12">
        <f>MAX($D$9:D20)</f>
        <v>55800</v>
      </c>
      <c r="F20" s="8" t="b">
        <f t="shared" si="0"/>
        <v>0</v>
      </c>
    </row>
    <row r="21" spans="1:6" x14ac:dyDescent="0.3">
      <c r="A21" s="6" t="s">
        <v>11</v>
      </c>
      <c r="B21" s="6" t="s">
        <v>12</v>
      </c>
      <c r="C21" s="7">
        <v>45786</v>
      </c>
      <c r="D21" s="11">
        <v>54800</v>
      </c>
      <c r="E21" s="12">
        <f>MAX($D$9:D21)</f>
        <v>55800</v>
      </c>
      <c r="F21" s="8" t="b">
        <f t="shared" si="0"/>
        <v>0</v>
      </c>
    </row>
    <row r="22" spans="1:6" x14ac:dyDescent="0.3">
      <c r="A22" s="6" t="s">
        <v>11</v>
      </c>
      <c r="B22" s="6" t="s">
        <v>12</v>
      </c>
      <c r="C22" s="7">
        <v>45789</v>
      </c>
      <c r="D22" s="11">
        <v>57600</v>
      </c>
      <c r="E22" s="12">
        <f>MAX($D$9:D22)</f>
        <v>57600</v>
      </c>
      <c r="F22" s="8" t="b">
        <f t="shared" si="0"/>
        <v>0</v>
      </c>
    </row>
    <row r="23" spans="1:6" x14ac:dyDescent="0.3">
      <c r="A23" s="6" t="s">
        <v>11</v>
      </c>
      <c r="B23" s="6" t="s">
        <v>12</v>
      </c>
      <c r="C23" s="7">
        <v>45790</v>
      </c>
      <c r="D23" s="11">
        <v>56900</v>
      </c>
      <c r="E23" s="12">
        <f>MAX($D$9:D23)</f>
        <v>57600</v>
      </c>
      <c r="F23" s="8" t="b">
        <f t="shared" si="0"/>
        <v>0</v>
      </c>
    </row>
    <row r="24" spans="1:6" x14ac:dyDescent="0.3">
      <c r="A24" s="6" t="s">
        <v>11</v>
      </c>
      <c r="B24" s="6" t="s">
        <v>12</v>
      </c>
      <c r="C24" s="7">
        <v>45791</v>
      </c>
      <c r="D24" s="11">
        <v>57400</v>
      </c>
      <c r="E24" s="12">
        <f>MAX($D$9:D24)</f>
        <v>57600</v>
      </c>
      <c r="F24" s="8" t="b">
        <f t="shared" si="0"/>
        <v>0</v>
      </c>
    </row>
    <row r="25" spans="1:6" x14ac:dyDescent="0.3">
      <c r="A25" s="6" t="s">
        <v>11</v>
      </c>
      <c r="B25" s="6" t="s">
        <v>12</v>
      </c>
      <c r="C25" s="7">
        <v>45792</v>
      </c>
      <c r="D25" s="11">
        <v>57300</v>
      </c>
      <c r="E25" s="12">
        <f>MAX($D$9:D25)</f>
        <v>57600</v>
      </c>
      <c r="F25" s="8" t="b">
        <f t="shared" si="0"/>
        <v>0</v>
      </c>
    </row>
    <row r="26" spans="1:6" x14ac:dyDescent="0.3">
      <c r="A26" s="6" t="s">
        <v>11</v>
      </c>
      <c r="B26" s="6" t="s">
        <v>12</v>
      </c>
      <c r="C26" s="7">
        <v>45793</v>
      </c>
      <c r="D26" s="11">
        <v>56800</v>
      </c>
      <c r="E26" s="12">
        <f>MAX($D$9:D26)</f>
        <v>57600</v>
      </c>
      <c r="F26" s="8" t="b">
        <f t="shared" si="0"/>
        <v>0</v>
      </c>
    </row>
    <row r="27" spans="1:6" x14ac:dyDescent="0.3">
      <c r="A27" s="6" t="s">
        <v>11</v>
      </c>
      <c r="B27" s="6" t="s">
        <v>12</v>
      </c>
      <c r="C27" s="7">
        <v>45796</v>
      </c>
      <c r="D27" s="11">
        <v>55800</v>
      </c>
      <c r="E27" s="12">
        <f>MAX($D$9:D27)</f>
        <v>57600</v>
      </c>
      <c r="F27" s="8" t="b">
        <f t="shared" si="0"/>
        <v>0</v>
      </c>
    </row>
    <row r="28" spans="1:6" x14ac:dyDescent="0.3">
      <c r="A28" s="6" t="s">
        <v>11</v>
      </c>
      <c r="B28" s="6" t="s">
        <v>12</v>
      </c>
      <c r="C28" s="7">
        <v>45797</v>
      </c>
      <c r="D28" s="11">
        <v>55900</v>
      </c>
      <c r="E28" s="12">
        <f>MAX($D$9:D28)</f>
        <v>57600</v>
      </c>
      <c r="F28" s="8" t="b">
        <f t="shared" si="0"/>
        <v>0</v>
      </c>
    </row>
    <row r="29" spans="1:6" x14ac:dyDescent="0.3">
      <c r="A29" s="6" t="s">
        <v>11</v>
      </c>
      <c r="B29" s="6" t="s">
        <v>12</v>
      </c>
      <c r="C29" s="7">
        <v>45798</v>
      </c>
      <c r="D29" s="11">
        <v>55700</v>
      </c>
      <c r="E29" s="12">
        <f>MAX($D$9:D29)</f>
        <v>57600</v>
      </c>
      <c r="F29" s="8" t="b">
        <f t="shared" si="0"/>
        <v>0</v>
      </c>
    </row>
    <row r="30" spans="1:6" x14ac:dyDescent="0.3">
      <c r="A30" s="6" t="s">
        <v>11</v>
      </c>
      <c r="B30" s="6" t="s">
        <v>12</v>
      </c>
      <c r="C30" s="7">
        <v>45799</v>
      </c>
      <c r="D30" s="11">
        <v>54700</v>
      </c>
      <c r="E30" s="12">
        <f>MAX($D$9:D30)</f>
        <v>57600</v>
      </c>
      <c r="F30" s="8" t="b">
        <f t="shared" si="0"/>
        <v>0</v>
      </c>
    </row>
    <row r="31" spans="1:6" x14ac:dyDescent="0.3">
      <c r="A31" s="6" t="s">
        <v>11</v>
      </c>
      <c r="B31" s="6" t="s">
        <v>12</v>
      </c>
      <c r="C31" s="7">
        <v>45800</v>
      </c>
      <c r="D31" s="11">
        <v>54200</v>
      </c>
      <c r="E31" s="12">
        <f>MAX($D$9:D31)</f>
        <v>57600</v>
      </c>
      <c r="F31" s="8" t="b">
        <f t="shared" si="0"/>
        <v>0</v>
      </c>
    </row>
    <row r="32" spans="1:6" x14ac:dyDescent="0.3">
      <c r="A32" s="6" t="s">
        <v>11</v>
      </c>
      <c r="B32" s="6" t="s">
        <v>12</v>
      </c>
      <c r="C32" s="7">
        <v>45803</v>
      </c>
      <c r="D32" s="11">
        <v>54700</v>
      </c>
      <c r="E32" s="12">
        <f>MAX($D$9:D32)</f>
        <v>57600</v>
      </c>
      <c r="F32" s="8" t="b">
        <f t="shared" si="0"/>
        <v>0</v>
      </c>
    </row>
    <row r="33" spans="1:6" x14ac:dyDescent="0.3">
      <c r="A33" s="6" t="s">
        <v>11</v>
      </c>
      <c r="B33" s="6" t="s">
        <v>12</v>
      </c>
      <c r="C33" s="7">
        <v>45804</v>
      </c>
      <c r="D33" s="11">
        <v>53900</v>
      </c>
      <c r="E33" s="12">
        <f>MAX($D$9:D33)</f>
        <v>57600</v>
      </c>
      <c r="F33" s="8" t="b">
        <f t="shared" si="0"/>
        <v>0</v>
      </c>
    </row>
    <row r="34" spans="1:6" x14ac:dyDescent="0.3">
      <c r="A34" s="6" t="s">
        <v>11</v>
      </c>
      <c r="B34" s="6" t="s">
        <v>12</v>
      </c>
      <c r="C34" s="7">
        <v>45805</v>
      </c>
      <c r="D34" s="11">
        <v>55900</v>
      </c>
      <c r="E34" s="12">
        <f>MAX($D$9:D34)</f>
        <v>57600</v>
      </c>
      <c r="F34" s="8" t="b">
        <f t="shared" si="0"/>
        <v>0</v>
      </c>
    </row>
    <row r="35" spans="1:6" x14ac:dyDescent="0.3">
      <c r="A35" s="6" t="s">
        <v>11</v>
      </c>
      <c r="B35" s="6" t="s">
        <v>12</v>
      </c>
      <c r="C35" s="7">
        <v>45806</v>
      </c>
      <c r="D35" s="11">
        <v>56100</v>
      </c>
      <c r="E35" s="12">
        <f>MAX($D$9:D35)</f>
        <v>57600</v>
      </c>
      <c r="F35" s="8" t="b">
        <f t="shared" si="0"/>
        <v>0</v>
      </c>
    </row>
    <row r="36" spans="1:6" x14ac:dyDescent="0.3">
      <c r="A36" s="6" t="s">
        <v>11</v>
      </c>
      <c r="B36" s="6" t="s">
        <v>12</v>
      </c>
      <c r="C36" s="7">
        <v>45807</v>
      </c>
      <c r="D36" s="11">
        <v>56200</v>
      </c>
      <c r="E36" s="12">
        <f>MAX($D$9:D36)</f>
        <v>57600</v>
      </c>
      <c r="F36" s="8" t="b">
        <f t="shared" si="0"/>
        <v>0</v>
      </c>
    </row>
    <row r="37" spans="1:6" x14ac:dyDescent="0.3">
      <c r="A37" s="6" t="s">
        <v>11</v>
      </c>
      <c r="B37" s="6" t="s">
        <v>12</v>
      </c>
      <c r="C37" s="7">
        <v>45810</v>
      </c>
      <c r="D37" s="11">
        <v>56800</v>
      </c>
      <c r="E37" s="12">
        <f>MAX($D$9:D37)</f>
        <v>57600</v>
      </c>
      <c r="F37" s="8" t="b">
        <f t="shared" si="0"/>
        <v>0</v>
      </c>
    </row>
    <row r="38" spans="1:6" x14ac:dyDescent="0.3">
      <c r="A38" s="6" t="s">
        <v>11</v>
      </c>
      <c r="B38" s="6" t="s">
        <v>12</v>
      </c>
      <c r="C38" s="7">
        <v>45812</v>
      </c>
      <c r="D38" s="11">
        <v>57800</v>
      </c>
      <c r="E38" s="12">
        <f>MAX($D$9:D38)</f>
        <v>57800</v>
      </c>
      <c r="F38" s="8" t="b">
        <f t="shared" si="0"/>
        <v>0</v>
      </c>
    </row>
    <row r="39" spans="1:6" x14ac:dyDescent="0.3">
      <c r="A39" s="6" t="s">
        <v>11</v>
      </c>
      <c r="B39" s="6" t="s">
        <v>12</v>
      </c>
      <c r="C39" s="7">
        <v>45813</v>
      </c>
      <c r="D39" s="11">
        <v>59100</v>
      </c>
      <c r="E39" s="12">
        <f>MAX($D$9:D39)</f>
        <v>59100</v>
      </c>
      <c r="F39" s="8" t="b">
        <f t="shared" si="0"/>
        <v>0</v>
      </c>
    </row>
    <row r="40" spans="1:6" x14ac:dyDescent="0.3">
      <c r="A40" s="6" t="s">
        <v>11</v>
      </c>
      <c r="B40" s="6" t="s">
        <v>12</v>
      </c>
      <c r="C40" s="7">
        <v>45817</v>
      </c>
      <c r="D40" s="11">
        <v>59800</v>
      </c>
      <c r="E40" s="12">
        <f>MAX($D$9:D40)</f>
        <v>59800</v>
      </c>
      <c r="F40" s="8" t="b">
        <f t="shared" si="0"/>
        <v>0</v>
      </c>
    </row>
    <row r="41" spans="1:6" x14ac:dyDescent="0.3">
      <c r="A41" s="6" t="s">
        <v>11</v>
      </c>
      <c r="B41" s="6" t="s">
        <v>12</v>
      </c>
      <c r="C41" s="7">
        <v>45818</v>
      </c>
      <c r="D41" s="11">
        <v>59200</v>
      </c>
      <c r="E41" s="12">
        <f>MAX($D$9:D41)</f>
        <v>59800</v>
      </c>
      <c r="F41" s="8" t="b">
        <f t="shared" si="0"/>
        <v>0</v>
      </c>
    </row>
    <row r="42" spans="1:6" x14ac:dyDescent="0.3">
      <c r="A42" s="6" t="s">
        <v>11</v>
      </c>
      <c r="B42" s="6" t="s">
        <v>12</v>
      </c>
      <c r="C42" s="7">
        <v>45819</v>
      </c>
      <c r="D42" s="11">
        <v>59900</v>
      </c>
      <c r="E42" s="12">
        <f>MAX($D$9:D42)</f>
        <v>59900</v>
      </c>
      <c r="F42" s="8" t="b">
        <f t="shared" si="0"/>
        <v>0</v>
      </c>
    </row>
    <row r="43" spans="1:6" x14ac:dyDescent="0.3">
      <c r="A43" s="6" t="s">
        <v>11</v>
      </c>
      <c r="B43" s="6" t="s">
        <v>12</v>
      </c>
      <c r="C43" s="7">
        <v>45820</v>
      </c>
      <c r="D43" s="11">
        <v>59500</v>
      </c>
      <c r="E43" s="12">
        <f>MAX($D$9:D43)</f>
        <v>59900</v>
      </c>
      <c r="F43" s="8" t="b">
        <f t="shared" si="0"/>
        <v>0</v>
      </c>
    </row>
    <row r="44" spans="1:6" x14ac:dyDescent="0.3">
      <c r="A44" s="6" t="s">
        <v>11</v>
      </c>
      <c r="B44" s="6" t="s">
        <v>12</v>
      </c>
      <c r="C44" s="7">
        <v>45821</v>
      </c>
      <c r="D44" s="11">
        <v>58300</v>
      </c>
      <c r="E44" s="12">
        <f>MAX($D$9:D44)</f>
        <v>59900</v>
      </c>
      <c r="F44" s="8" t="b">
        <f t="shared" si="0"/>
        <v>0</v>
      </c>
    </row>
    <row r="45" spans="1:6" x14ac:dyDescent="0.3">
      <c r="A45" s="6" t="s">
        <v>11</v>
      </c>
      <c r="B45" s="6" t="s">
        <v>12</v>
      </c>
      <c r="C45" s="7">
        <v>45824</v>
      </c>
      <c r="D45" s="11">
        <v>57200</v>
      </c>
      <c r="E45" s="12">
        <f>MAX($D$9:D45)</f>
        <v>59900</v>
      </c>
      <c r="F45" s="8" t="b">
        <f t="shared" si="0"/>
        <v>0</v>
      </c>
    </row>
    <row r="46" spans="1:6" x14ac:dyDescent="0.3">
      <c r="A46" s="6" t="s">
        <v>11</v>
      </c>
      <c r="B46" s="6" t="s">
        <v>12</v>
      </c>
      <c r="C46" s="7">
        <v>45825</v>
      </c>
      <c r="D46" s="11">
        <v>58100</v>
      </c>
      <c r="E46" s="12">
        <f>MAX($D$9:D46)</f>
        <v>59900</v>
      </c>
      <c r="F46" s="8" t="b">
        <f t="shared" si="0"/>
        <v>0</v>
      </c>
    </row>
    <row r="47" spans="1:6" x14ac:dyDescent="0.3">
      <c r="A47" s="6" t="s">
        <v>11</v>
      </c>
      <c r="B47" s="6" t="s">
        <v>12</v>
      </c>
      <c r="C47" s="7">
        <v>45826</v>
      </c>
      <c r="D47" s="11">
        <v>59800</v>
      </c>
      <c r="E47" s="12">
        <f>MAX($D$9:D47)</f>
        <v>59900</v>
      </c>
      <c r="F47" s="8" t="b">
        <f t="shared" si="0"/>
        <v>0</v>
      </c>
    </row>
    <row r="48" spans="1:6" x14ac:dyDescent="0.3">
      <c r="A48" s="6" t="s">
        <v>11</v>
      </c>
      <c r="B48" s="6" t="s">
        <v>12</v>
      </c>
      <c r="C48" s="7">
        <v>45827</v>
      </c>
      <c r="D48" s="11">
        <v>59200</v>
      </c>
      <c r="E48" s="12">
        <f>MAX($D$9:D48)</f>
        <v>59900</v>
      </c>
      <c r="F48" s="8" t="b">
        <f t="shared" si="0"/>
        <v>0</v>
      </c>
    </row>
    <row r="49" spans="1:6" x14ac:dyDescent="0.3">
      <c r="A49" s="6" t="s">
        <v>11</v>
      </c>
      <c r="B49" s="6" t="s">
        <v>12</v>
      </c>
      <c r="C49" s="7">
        <v>45828</v>
      </c>
      <c r="D49" s="11">
        <v>59500</v>
      </c>
      <c r="E49" s="12">
        <f>MAX($D$9:D49)</f>
        <v>59900</v>
      </c>
      <c r="F49" s="8" t="b">
        <f t="shared" si="0"/>
        <v>0</v>
      </c>
    </row>
    <row r="50" spans="1:6" x14ac:dyDescent="0.3">
      <c r="A50" s="6" t="s">
        <v>11</v>
      </c>
      <c r="B50" s="6" t="s">
        <v>12</v>
      </c>
      <c r="C50" s="7">
        <v>45831</v>
      </c>
      <c r="D50" s="11">
        <v>58000</v>
      </c>
      <c r="E50" s="12">
        <f>MAX($D$9:D50)</f>
        <v>59900</v>
      </c>
      <c r="F50" s="8" t="b">
        <f t="shared" si="0"/>
        <v>0</v>
      </c>
    </row>
    <row r="51" spans="1:6" x14ac:dyDescent="0.3">
      <c r="A51" s="6" t="s">
        <v>11</v>
      </c>
      <c r="B51" s="6" t="s">
        <v>12</v>
      </c>
      <c r="C51" s="7">
        <v>45832</v>
      </c>
      <c r="D51" s="11">
        <v>60500</v>
      </c>
      <c r="E51" s="12">
        <f>MAX($D$9:D51)</f>
        <v>60500</v>
      </c>
      <c r="F51" s="8" t="b">
        <f t="shared" si="0"/>
        <v>0</v>
      </c>
    </row>
    <row r="52" spans="1:6" x14ac:dyDescent="0.3">
      <c r="A52" s="6" t="s">
        <v>11</v>
      </c>
      <c r="B52" s="6" t="s">
        <v>12</v>
      </c>
      <c r="C52" s="7">
        <v>45833</v>
      </c>
      <c r="D52" s="11">
        <v>61300</v>
      </c>
      <c r="E52" s="12">
        <f>MAX($D$9:D52)</f>
        <v>61300</v>
      </c>
      <c r="F52" s="8" t="b">
        <f t="shared" si="0"/>
        <v>0</v>
      </c>
    </row>
    <row r="53" spans="1:6" x14ac:dyDescent="0.3">
      <c r="A53" s="6" t="s">
        <v>11</v>
      </c>
      <c r="B53" s="6" t="s">
        <v>12</v>
      </c>
      <c r="C53" s="7">
        <v>45834</v>
      </c>
      <c r="D53" s="11">
        <v>60200</v>
      </c>
      <c r="E53" s="12">
        <f>MAX($D$9:D53)</f>
        <v>61300</v>
      </c>
      <c r="F53" s="8" t="b">
        <f t="shared" si="0"/>
        <v>0</v>
      </c>
    </row>
    <row r="54" spans="1:6" x14ac:dyDescent="0.3">
      <c r="A54" s="6" t="s">
        <v>11</v>
      </c>
      <c r="B54" s="6" t="s">
        <v>12</v>
      </c>
      <c r="C54" s="7">
        <v>45835</v>
      </c>
      <c r="D54" s="11">
        <v>60800</v>
      </c>
      <c r="E54" s="12">
        <f>MAX($D$9:D54)</f>
        <v>61300</v>
      </c>
      <c r="F54" s="8" t="b">
        <f t="shared" si="0"/>
        <v>0</v>
      </c>
    </row>
    <row r="55" spans="1:6" x14ac:dyDescent="0.3">
      <c r="A55" s="6" t="s">
        <v>11</v>
      </c>
      <c r="B55" s="6" t="s">
        <v>12</v>
      </c>
      <c r="C55" s="7">
        <v>45838</v>
      </c>
      <c r="D55" s="11">
        <v>59800</v>
      </c>
      <c r="E55" s="12">
        <f>MAX($D$9:D55)</f>
        <v>61300</v>
      </c>
      <c r="F55" s="8" t="b">
        <f t="shared" si="0"/>
        <v>0</v>
      </c>
    </row>
    <row r="56" spans="1:6" x14ac:dyDescent="0.3">
      <c r="A56" s="6" t="s">
        <v>11</v>
      </c>
      <c r="B56" s="6" t="s">
        <v>12</v>
      </c>
      <c r="C56" s="7">
        <v>45839</v>
      </c>
      <c r="D56" s="11">
        <v>60200</v>
      </c>
      <c r="E56" s="12">
        <f>MAX($D$9:D56)</f>
        <v>61300</v>
      </c>
      <c r="F56" s="8" t="b">
        <f t="shared" si="0"/>
        <v>0</v>
      </c>
    </row>
    <row r="57" spans="1:6" x14ac:dyDescent="0.3">
      <c r="A57" s="6" t="s">
        <v>11</v>
      </c>
      <c r="B57" s="6" t="s">
        <v>12</v>
      </c>
      <c r="C57" s="7">
        <v>45840</v>
      </c>
      <c r="D57" s="11">
        <v>60800</v>
      </c>
      <c r="E57" s="12">
        <f>MAX($D$9:D57)</f>
        <v>61300</v>
      </c>
      <c r="F57" s="8" t="b">
        <f t="shared" si="0"/>
        <v>0</v>
      </c>
    </row>
    <row r="58" spans="1:6" x14ac:dyDescent="0.3">
      <c r="A58" s="6" t="s">
        <v>11</v>
      </c>
      <c r="B58" s="6" t="s">
        <v>12</v>
      </c>
      <c r="C58" s="7">
        <v>45841</v>
      </c>
      <c r="D58" s="11">
        <v>63800</v>
      </c>
      <c r="E58" s="12">
        <f>MAX($D$9:D58)</f>
        <v>63800</v>
      </c>
      <c r="F58" s="8" t="b">
        <f t="shared" si="0"/>
        <v>0</v>
      </c>
    </row>
    <row r="59" spans="1:6" x14ac:dyDescent="0.3">
      <c r="A59" s="6" t="s">
        <v>11</v>
      </c>
      <c r="B59" s="6" t="s">
        <v>12</v>
      </c>
      <c r="C59" s="7">
        <v>45842</v>
      </c>
      <c r="D59" s="11">
        <v>63300</v>
      </c>
      <c r="E59" s="12">
        <f>MAX($D$9:D59)</f>
        <v>63800</v>
      </c>
      <c r="F59" s="8" t="b">
        <f t="shared" si="0"/>
        <v>0</v>
      </c>
    </row>
    <row r="60" spans="1:6" x14ac:dyDescent="0.3">
      <c r="A60" s="6" t="s">
        <v>11</v>
      </c>
      <c r="B60" s="6" t="s">
        <v>12</v>
      </c>
      <c r="C60" s="7">
        <v>45845</v>
      </c>
      <c r="D60" s="11">
        <v>61700</v>
      </c>
      <c r="E60" s="12">
        <f>MAX($D$9:D60)</f>
        <v>63800</v>
      </c>
      <c r="F60" s="8" t="b">
        <f t="shared" si="0"/>
        <v>0</v>
      </c>
    </row>
    <row r="61" spans="1:6" x14ac:dyDescent="0.3">
      <c r="A61" s="6" t="s">
        <v>11</v>
      </c>
      <c r="B61" s="6" t="s">
        <v>12</v>
      </c>
      <c r="C61" s="7">
        <v>45846</v>
      </c>
      <c r="D61" s="11">
        <v>61400</v>
      </c>
      <c r="E61" s="12">
        <f>MAX($D$9:D61)</f>
        <v>63800</v>
      </c>
      <c r="F61" s="8" t="b">
        <f t="shared" si="0"/>
        <v>0</v>
      </c>
    </row>
    <row r="62" spans="1:6" x14ac:dyDescent="0.3">
      <c r="A62" s="6" t="s">
        <v>11</v>
      </c>
      <c r="B62" s="6" t="s">
        <v>12</v>
      </c>
      <c r="C62" s="7">
        <v>45847</v>
      </c>
      <c r="D62" s="11">
        <v>60400</v>
      </c>
      <c r="E62" s="12">
        <f>MAX($D$9:D62)</f>
        <v>63800</v>
      </c>
      <c r="F62" s="8" t="b">
        <f t="shared" si="0"/>
        <v>0</v>
      </c>
    </row>
    <row r="63" spans="1:6" x14ac:dyDescent="0.3">
      <c r="A63" s="6" t="s">
        <v>11</v>
      </c>
      <c r="B63" s="6" t="s">
        <v>12</v>
      </c>
      <c r="C63" s="7">
        <v>45848</v>
      </c>
      <c r="D63" s="11">
        <v>61000</v>
      </c>
      <c r="E63" s="12">
        <f>MAX($D$9:D63)</f>
        <v>63800</v>
      </c>
      <c r="F63" s="8" t="b">
        <f t="shared" si="0"/>
        <v>0</v>
      </c>
    </row>
    <row r="64" spans="1:6" x14ac:dyDescent="0.3">
      <c r="A64" s="6" t="s">
        <v>11</v>
      </c>
      <c r="B64" s="6" t="s">
        <v>12</v>
      </c>
      <c r="C64" s="7">
        <v>45849</v>
      </c>
      <c r="D64" s="11">
        <v>62600</v>
      </c>
      <c r="E64" s="12">
        <f>MAX($D$9:D64)</f>
        <v>63800</v>
      </c>
      <c r="F64" s="8" t="b">
        <f t="shared" si="0"/>
        <v>0</v>
      </c>
    </row>
    <row r="65" spans="1:6" x14ac:dyDescent="0.3">
      <c r="A65" s="6" t="s">
        <v>11</v>
      </c>
      <c r="B65" s="6" t="s">
        <v>12</v>
      </c>
      <c r="C65" s="7">
        <v>45852</v>
      </c>
      <c r="D65" s="11">
        <v>62500</v>
      </c>
      <c r="E65" s="12">
        <f>MAX($D$9:D65)</f>
        <v>63800</v>
      </c>
      <c r="F65" s="8" t="b">
        <f t="shared" si="0"/>
        <v>0</v>
      </c>
    </row>
    <row r="66" spans="1:6" x14ac:dyDescent="0.3">
      <c r="A66" s="6" t="s">
        <v>11</v>
      </c>
      <c r="B66" s="6" t="s">
        <v>12</v>
      </c>
      <c r="C66" s="7">
        <v>45853</v>
      </c>
      <c r="D66" s="11">
        <v>63700</v>
      </c>
      <c r="E66" s="12">
        <f>MAX($D$9:D66)</f>
        <v>63800</v>
      </c>
      <c r="F66" s="8" t="b">
        <f t="shared" si="0"/>
        <v>0</v>
      </c>
    </row>
    <row r="67" spans="1:6" x14ac:dyDescent="0.3">
      <c r="A67" s="6" t="s">
        <v>11</v>
      </c>
      <c r="B67" s="6" t="s">
        <v>12</v>
      </c>
      <c r="C67" s="7">
        <v>45854</v>
      </c>
      <c r="D67" s="11">
        <v>64700</v>
      </c>
      <c r="E67" s="12">
        <f>MAX($D$9:D67)</f>
        <v>64700</v>
      </c>
      <c r="F67" s="8" t="b">
        <f t="shared" si="0"/>
        <v>0</v>
      </c>
    </row>
    <row r="68" spans="1:6" x14ac:dyDescent="0.3">
      <c r="A68" s="6" t="s">
        <v>11</v>
      </c>
      <c r="B68" s="6" t="s">
        <v>12</v>
      </c>
      <c r="C68" s="7">
        <v>45855</v>
      </c>
      <c r="D68" s="11">
        <v>66700</v>
      </c>
      <c r="E68" s="12">
        <f>MAX($D$9:D68)</f>
        <v>66700</v>
      </c>
      <c r="F68" s="8" t="b">
        <f t="shared" si="0"/>
        <v>0</v>
      </c>
    </row>
    <row r="69" spans="1:6" x14ac:dyDescent="0.3">
      <c r="A69" s="6" t="s">
        <v>11</v>
      </c>
      <c r="B69" s="6" t="s">
        <v>12</v>
      </c>
      <c r="C69" s="7">
        <v>45856</v>
      </c>
      <c r="D69" s="11">
        <v>67100</v>
      </c>
      <c r="E69" s="12">
        <f>MAX($D$9:D69)</f>
        <v>67100</v>
      </c>
      <c r="F69" s="8" t="b">
        <f t="shared" si="0"/>
        <v>0</v>
      </c>
    </row>
    <row r="70" spans="1:6" x14ac:dyDescent="0.3">
      <c r="A70" s="6" t="s">
        <v>11</v>
      </c>
      <c r="B70" s="6" t="s">
        <v>12</v>
      </c>
      <c r="C70" s="7">
        <v>45859</v>
      </c>
      <c r="D70" s="11">
        <v>67800</v>
      </c>
      <c r="E70" s="12">
        <f>MAX($D$9:D70)</f>
        <v>67800</v>
      </c>
      <c r="F70" s="8" t="b">
        <f t="shared" si="0"/>
        <v>0</v>
      </c>
    </row>
    <row r="71" spans="1:6" x14ac:dyDescent="0.3">
      <c r="A71" s="6" t="s">
        <v>11</v>
      </c>
      <c r="B71" s="6" t="s">
        <v>12</v>
      </c>
      <c r="C71" s="7">
        <v>45860</v>
      </c>
      <c r="D71" s="11">
        <v>66000</v>
      </c>
      <c r="E71" s="12">
        <f>MAX($D$9:D71)</f>
        <v>67800</v>
      </c>
      <c r="F71" s="8" t="b">
        <f t="shared" si="0"/>
        <v>0</v>
      </c>
    </row>
    <row r="72" spans="1:6" x14ac:dyDescent="0.3">
      <c r="A72" s="6" t="s">
        <v>11</v>
      </c>
      <c r="B72" s="6" t="s">
        <v>12</v>
      </c>
      <c r="C72" s="7">
        <v>45861</v>
      </c>
      <c r="D72" s="11">
        <v>66400</v>
      </c>
      <c r="E72" s="12">
        <f>MAX($D$9:D72)</f>
        <v>67800</v>
      </c>
      <c r="F72" s="8" t="b">
        <f t="shared" si="0"/>
        <v>0</v>
      </c>
    </row>
    <row r="73" spans="1:6" x14ac:dyDescent="0.3">
      <c r="A73" s="6" t="s">
        <v>11</v>
      </c>
      <c r="B73" s="6" t="s">
        <v>12</v>
      </c>
      <c r="C73" s="7">
        <v>45862</v>
      </c>
      <c r="D73" s="11">
        <v>66000</v>
      </c>
      <c r="E73" s="12">
        <f>MAX($D$9:D73)</f>
        <v>67800</v>
      </c>
      <c r="F73" s="8" t="b">
        <f t="shared" ref="F73:F136" si="1">D73=MAX($D$9:$D$260)</f>
        <v>0</v>
      </c>
    </row>
    <row r="74" spans="1:6" x14ac:dyDescent="0.3">
      <c r="A74" s="6" t="s">
        <v>11</v>
      </c>
      <c r="B74" s="6" t="s">
        <v>12</v>
      </c>
      <c r="C74" s="7">
        <v>45863</v>
      </c>
      <c r="D74" s="11">
        <v>65900</v>
      </c>
      <c r="E74" s="12">
        <f>MAX($D$9:D74)</f>
        <v>67800</v>
      </c>
      <c r="F74" s="8" t="b">
        <f t="shared" si="1"/>
        <v>0</v>
      </c>
    </row>
    <row r="75" spans="1:6" x14ac:dyDescent="0.3">
      <c r="A75" s="6" t="s">
        <v>11</v>
      </c>
      <c r="B75" s="6" t="s">
        <v>12</v>
      </c>
      <c r="C75" s="7">
        <v>45866</v>
      </c>
      <c r="D75" s="11">
        <v>70400</v>
      </c>
      <c r="E75" s="12">
        <f>MAX($D$9:D75)</f>
        <v>70400</v>
      </c>
      <c r="F75" s="8" t="b">
        <f t="shared" si="1"/>
        <v>0</v>
      </c>
    </row>
    <row r="76" spans="1:6" x14ac:dyDescent="0.3">
      <c r="A76" s="6" t="s">
        <v>11</v>
      </c>
      <c r="B76" s="6" t="s">
        <v>12</v>
      </c>
      <c r="C76" s="7">
        <v>45867</v>
      </c>
      <c r="D76" s="11">
        <v>70600</v>
      </c>
      <c r="E76" s="12">
        <f>MAX($D$9:D76)</f>
        <v>70600</v>
      </c>
      <c r="F76" s="8" t="b">
        <f t="shared" si="1"/>
        <v>0</v>
      </c>
    </row>
    <row r="77" spans="1:6" x14ac:dyDescent="0.3">
      <c r="A77" s="6" t="s">
        <v>11</v>
      </c>
      <c r="B77" s="6" t="s">
        <v>12</v>
      </c>
      <c r="C77" s="7">
        <v>45868</v>
      </c>
      <c r="D77" s="11">
        <v>72600</v>
      </c>
      <c r="E77" s="12">
        <f>MAX($D$9:D77)</f>
        <v>72600</v>
      </c>
      <c r="F77" s="8" t="b">
        <f t="shared" si="1"/>
        <v>0</v>
      </c>
    </row>
    <row r="78" spans="1:6" x14ac:dyDescent="0.3">
      <c r="A78" s="6" t="s">
        <v>11</v>
      </c>
      <c r="B78" s="6" t="s">
        <v>12</v>
      </c>
      <c r="C78" s="7">
        <v>45869</v>
      </c>
      <c r="D78" s="11">
        <v>71400</v>
      </c>
      <c r="E78" s="12">
        <f>MAX($D$9:D78)</f>
        <v>72600</v>
      </c>
      <c r="F78" s="8" t="b">
        <f t="shared" si="1"/>
        <v>0</v>
      </c>
    </row>
    <row r="79" spans="1:6" x14ac:dyDescent="0.3">
      <c r="A79" s="6" t="s">
        <v>11</v>
      </c>
      <c r="B79" s="6" t="s">
        <v>12</v>
      </c>
      <c r="C79" s="7">
        <v>45870</v>
      </c>
      <c r="D79" s="11">
        <v>68900</v>
      </c>
      <c r="E79" s="12">
        <f>MAX($D$9:D79)</f>
        <v>72600</v>
      </c>
      <c r="F79" s="8" t="b">
        <f t="shared" si="1"/>
        <v>0</v>
      </c>
    </row>
    <row r="80" spans="1:6" x14ac:dyDescent="0.3">
      <c r="A80" s="6" t="s">
        <v>11</v>
      </c>
      <c r="B80" s="6" t="s">
        <v>12</v>
      </c>
      <c r="C80" s="7">
        <v>45873</v>
      </c>
      <c r="D80" s="11">
        <v>69700</v>
      </c>
      <c r="E80" s="12">
        <f>MAX($D$9:D80)</f>
        <v>72600</v>
      </c>
      <c r="F80" s="8" t="b">
        <f t="shared" si="1"/>
        <v>0</v>
      </c>
    </row>
    <row r="81" spans="1:6" x14ac:dyDescent="0.3">
      <c r="A81" s="6" t="s">
        <v>11</v>
      </c>
      <c r="B81" s="6" t="s">
        <v>12</v>
      </c>
      <c r="C81" s="7">
        <v>45874</v>
      </c>
      <c r="D81" s="11">
        <v>69900</v>
      </c>
      <c r="E81" s="12">
        <f>MAX($D$9:D81)</f>
        <v>72600</v>
      </c>
      <c r="F81" s="8" t="b">
        <f t="shared" si="1"/>
        <v>0</v>
      </c>
    </row>
    <row r="82" spans="1:6" x14ac:dyDescent="0.3">
      <c r="A82" s="6" t="s">
        <v>11</v>
      </c>
      <c r="B82" s="6" t="s">
        <v>12</v>
      </c>
      <c r="C82" s="7">
        <v>45875</v>
      </c>
      <c r="D82" s="11">
        <v>68800</v>
      </c>
      <c r="E82" s="12">
        <f>MAX($D$9:D82)</f>
        <v>72600</v>
      </c>
      <c r="F82" s="8" t="b">
        <f t="shared" si="1"/>
        <v>0</v>
      </c>
    </row>
    <row r="83" spans="1:6" x14ac:dyDescent="0.3">
      <c r="A83" s="6" t="s">
        <v>11</v>
      </c>
      <c r="B83" s="6" t="s">
        <v>12</v>
      </c>
      <c r="C83" s="7">
        <v>45876</v>
      </c>
      <c r="D83" s="11">
        <v>70500</v>
      </c>
      <c r="E83" s="12">
        <f>MAX($D$9:D83)</f>
        <v>72600</v>
      </c>
      <c r="F83" s="8" t="b">
        <f t="shared" si="1"/>
        <v>0</v>
      </c>
    </row>
    <row r="84" spans="1:6" x14ac:dyDescent="0.3">
      <c r="A84" s="6" t="s">
        <v>11</v>
      </c>
      <c r="B84" s="6" t="s">
        <v>12</v>
      </c>
      <c r="C84" s="7">
        <v>45877</v>
      </c>
      <c r="D84" s="11">
        <v>71800</v>
      </c>
      <c r="E84" s="12">
        <f>MAX($D$9:D84)</f>
        <v>72600</v>
      </c>
      <c r="F84" s="8" t="b">
        <f t="shared" si="1"/>
        <v>0</v>
      </c>
    </row>
    <row r="85" spans="1:6" x14ac:dyDescent="0.3">
      <c r="A85" s="6" t="s">
        <v>11</v>
      </c>
      <c r="B85" s="6" t="s">
        <v>12</v>
      </c>
      <c r="C85" s="7">
        <v>45880</v>
      </c>
      <c r="D85" s="11">
        <v>71000</v>
      </c>
      <c r="E85" s="12">
        <f>MAX($D$9:D85)</f>
        <v>72600</v>
      </c>
      <c r="F85" s="8" t="b">
        <f t="shared" si="1"/>
        <v>0</v>
      </c>
    </row>
    <row r="86" spans="1:6" x14ac:dyDescent="0.3">
      <c r="A86" s="6" t="s">
        <v>11</v>
      </c>
      <c r="B86" s="6" t="s">
        <v>12</v>
      </c>
      <c r="C86" s="7">
        <v>45881</v>
      </c>
      <c r="D86" s="11">
        <v>71100</v>
      </c>
      <c r="E86" s="12">
        <f>MAX($D$9:D86)</f>
        <v>72600</v>
      </c>
      <c r="F86" s="8" t="b">
        <f t="shared" si="1"/>
        <v>0</v>
      </c>
    </row>
    <row r="87" spans="1:6" x14ac:dyDescent="0.3">
      <c r="A87" s="6" t="s">
        <v>11</v>
      </c>
      <c r="B87" s="6" t="s">
        <v>12</v>
      </c>
      <c r="C87" s="7">
        <v>45882</v>
      </c>
      <c r="D87" s="11">
        <v>71900</v>
      </c>
      <c r="E87" s="12">
        <f>MAX($D$9:D87)</f>
        <v>72600</v>
      </c>
      <c r="F87" s="8" t="b">
        <f t="shared" si="1"/>
        <v>0</v>
      </c>
    </row>
    <row r="88" spans="1:6" x14ac:dyDescent="0.3">
      <c r="A88" s="6" t="s">
        <v>11</v>
      </c>
      <c r="B88" s="6" t="s">
        <v>12</v>
      </c>
      <c r="C88" s="7">
        <v>45883</v>
      </c>
      <c r="D88" s="11">
        <v>71600</v>
      </c>
      <c r="E88" s="12">
        <f>MAX($D$9:D88)</f>
        <v>72600</v>
      </c>
      <c r="F88" s="8" t="b">
        <f t="shared" si="1"/>
        <v>0</v>
      </c>
    </row>
    <row r="89" spans="1:6" x14ac:dyDescent="0.3">
      <c r="A89" s="6" t="s">
        <v>11</v>
      </c>
      <c r="B89" s="6" t="s">
        <v>12</v>
      </c>
      <c r="C89" s="7">
        <v>45887</v>
      </c>
      <c r="D89" s="11">
        <v>70000</v>
      </c>
      <c r="E89" s="12">
        <f>MAX($D$9:D89)</f>
        <v>72600</v>
      </c>
      <c r="F89" s="8" t="b">
        <f t="shared" si="1"/>
        <v>0</v>
      </c>
    </row>
    <row r="90" spans="1:6" x14ac:dyDescent="0.3">
      <c r="A90" s="6" t="s">
        <v>11</v>
      </c>
      <c r="B90" s="6" t="s">
        <v>12</v>
      </c>
      <c r="C90" s="7">
        <v>45888</v>
      </c>
      <c r="D90" s="11">
        <v>70000</v>
      </c>
      <c r="E90" s="12">
        <f>MAX($D$9:D90)</f>
        <v>72600</v>
      </c>
      <c r="F90" s="8" t="b">
        <f t="shared" si="1"/>
        <v>0</v>
      </c>
    </row>
    <row r="91" spans="1:6" x14ac:dyDescent="0.3">
      <c r="A91" s="6" t="s">
        <v>11</v>
      </c>
      <c r="B91" s="6" t="s">
        <v>12</v>
      </c>
      <c r="C91" s="7">
        <v>45889</v>
      </c>
      <c r="D91" s="11">
        <v>70500</v>
      </c>
      <c r="E91" s="12">
        <f>MAX($D$9:D91)</f>
        <v>72600</v>
      </c>
      <c r="F91" s="8" t="b">
        <f t="shared" si="1"/>
        <v>0</v>
      </c>
    </row>
    <row r="92" spans="1:6" x14ac:dyDescent="0.3">
      <c r="A92" s="6" t="s">
        <v>11</v>
      </c>
      <c r="B92" s="6" t="s">
        <v>12</v>
      </c>
      <c r="C92" s="7">
        <v>45890</v>
      </c>
      <c r="D92" s="11">
        <v>70600</v>
      </c>
      <c r="E92" s="12">
        <f>MAX($D$9:D92)</f>
        <v>72600</v>
      </c>
      <c r="F92" s="8" t="b">
        <f t="shared" si="1"/>
        <v>0</v>
      </c>
    </row>
    <row r="93" spans="1:6" x14ac:dyDescent="0.3">
      <c r="A93" s="6" t="s">
        <v>11</v>
      </c>
      <c r="B93" s="6" t="s">
        <v>12</v>
      </c>
      <c r="C93" s="7">
        <v>45891</v>
      </c>
      <c r="D93" s="11">
        <v>71400</v>
      </c>
      <c r="E93" s="12">
        <f>MAX($D$9:D93)</f>
        <v>72600</v>
      </c>
      <c r="F93" s="8" t="b">
        <f t="shared" si="1"/>
        <v>0</v>
      </c>
    </row>
    <row r="94" spans="1:6" x14ac:dyDescent="0.3">
      <c r="A94" s="6" t="s">
        <v>11</v>
      </c>
      <c r="B94" s="6" t="s">
        <v>12</v>
      </c>
      <c r="C94" s="7">
        <v>45894</v>
      </c>
      <c r="D94" s="11">
        <v>71500</v>
      </c>
      <c r="E94" s="12">
        <f>MAX($D$9:D94)</f>
        <v>72600</v>
      </c>
      <c r="F94" s="8" t="b">
        <f t="shared" si="1"/>
        <v>0</v>
      </c>
    </row>
    <row r="95" spans="1:6" x14ac:dyDescent="0.3">
      <c r="A95" s="6" t="s">
        <v>11</v>
      </c>
      <c r="B95" s="6" t="s">
        <v>12</v>
      </c>
      <c r="C95" s="7">
        <v>45895</v>
      </c>
      <c r="D95" s="11">
        <v>70300</v>
      </c>
      <c r="E95" s="12">
        <f>MAX($D$9:D95)</f>
        <v>72600</v>
      </c>
      <c r="F95" s="8" t="b">
        <f t="shared" si="1"/>
        <v>0</v>
      </c>
    </row>
    <row r="96" spans="1:6" x14ac:dyDescent="0.3">
      <c r="A96" s="6" t="s">
        <v>11</v>
      </c>
      <c r="B96" s="6" t="s">
        <v>12</v>
      </c>
      <c r="C96" s="7">
        <v>45896</v>
      </c>
      <c r="D96" s="11">
        <v>70600</v>
      </c>
      <c r="E96" s="12">
        <f>MAX($D$9:D96)</f>
        <v>72600</v>
      </c>
      <c r="F96" s="8" t="b">
        <f t="shared" si="1"/>
        <v>0</v>
      </c>
    </row>
    <row r="97" spans="1:6" x14ac:dyDescent="0.3">
      <c r="A97" s="6" t="s">
        <v>11</v>
      </c>
      <c r="B97" s="6" t="s">
        <v>12</v>
      </c>
      <c r="C97" s="7">
        <v>45897</v>
      </c>
      <c r="D97" s="11">
        <v>69600</v>
      </c>
      <c r="E97" s="12">
        <f>MAX($D$9:D97)</f>
        <v>72600</v>
      </c>
      <c r="F97" s="8" t="b">
        <f t="shared" si="1"/>
        <v>0</v>
      </c>
    </row>
    <row r="98" spans="1:6" x14ac:dyDescent="0.3">
      <c r="A98" s="6" t="s">
        <v>11</v>
      </c>
      <c r="B98" s="6" t="s">
        <v>12</v>
      </c>
      <c r="C98" s="7">
        <v>45898</v>
      </c>
      <c r="D98" s="11">
        <v>69700</v>
      </c>
      <c r="E98" s="12">
        <f>MAX($D$9:D98)</f>
        <v>72600</v>
      </c>
      <c r="F98" s="8" t="b">
        <f t="shared" si="1"/>
        <v>0</v>
      </c>
    </row>
    <row r="99" spans="1:6" x14ac:dyDescent="0.3">
      <c r="A99" s="6" t="s">
        <v>11</v>
      </c>
      <c r="B99" s="6" t="s">
        <v>12</v>
      </c>
      <c r="C99" s="7">
        <v>45901</v>
      </c>
      <c r="D99" s="11">
        <v>67600</v>
      </c>
      <c r="E99" s="12">
        <f>MAX($D$9:D99)</f>
        <v>72600</v>
      </c>
      <c r="F99" s="8" t="b">
        <f t="shared" si="1"/>
        <v>0</v>
      </c>
    </row>
    <row r="100" spans="1:6" x14ac:dyDescent="0.3">
      <c r="A100" s="6" t="s">
        <v>11</v>
      </c>
      <c r="B100" s="6" t="s">
        <v>12</v>
      </c>
      <c r="C100" s="7">
        <v>45902</v>
      </c>
      <c r="D100" s="11">
        <v>69100</v>
      </c>
      <c r="E100" s="12">
        <f>MAX($D$9:D100)</f>
        <v>72600</v>
      </c>
      <c r="F100" s="8" t="b">
        <f t="shared" si="1"/>
        <v>0</v>
      </c>
    </row>
    <row r="101" spans="1:6" x14ac:dyDescent="0.3">
      <c r="A101" s="6" t="s">
        <v>11</v>
      </c>
      <c r="B101" s="6" t="s">
        <v>12</v>
      </c>
      <c r="C101" s="7">
        <v>45903</v>
      </c>
      <c r="D101" s="11">
        <v>69800</v>
      </c>
      <c r="E101" s="12">
        <f>MAX($D$9:D101)</f>
        <v>72600</v>
      </c>
      <c r="F101" s="8" t="b">
        <f t="shared" si="1"/>
        <v>0</v>
      </c>
    </row>
    <row r="102" spans="1:6" x14ac:dyDescent="0.3">
      <c r="A102" s="6" t="s">
        <v>11</v>
      </c>
      <c r="B102" s="6" t="s">
        <v>12</v>
      </c>
      <c r="C102" s="7">
        <v>45904</v>
      </c>
      <c r="D102" s="11">
        <v>70100</v>
      </c>
      <c r="E102" s="12">
        <f>MAX($D$9:D102)</f>
        <v>72600</v>
      </c>
      <c r="F102" s="8" t="b">
        <f t="shared" si="1"/>
        <v>0</v>
      </c>
    </row>
    <row r="103" spans="1:6" x14ac:dyDescent="0.3">
      <c r="A103" s="6" t="s">
        <v>11</v>
      </c>
      <c r="B103" s="6" t="s">
        <v>12</v>
      </c>
      <c r="C103" s="7">
        <v>45905</v>
      </c>
      <c r="D103" s="11">
        <v>69500</v>
      </c>
      <c r="E103" s="12">
        <f>MAX($D$9:D103)</f>
        <v>72600</v>
      </c>
      <c r="F103" s="8" t="b">
        <f t="shared" si="1"/>
        <v>0</v>
      </c>
    </row>
    <row r="104" spans="1:6" x14ac:dyDescent="0.3">
      <c r="A104" s="6" t="s">
        <v>11</v>
      </c>
      <c r="B104" s="6" t="s">
        <v>12</v>
      </c>
      <c r="C104" s="7">
        <v>45908</v>
      </c>
      <c r="D104" s="11">
        <v>70100</v>
      </c>
      <c r="E104" s="12">
        <f>MAX($D$9:D104)</f>
        <v>72600</v>
      </c>
      <c r="F104" s="8" t="b">
        <f t="shared" si="1"/>
        <v>0</v>
      </c>
    </row>
    <row r="105" spans="1:6" x14ac:dyDescent="0.3">
      <c r="A105" s="6" t="s">
        <v>11</v>
      </c>
      <c r="B105" s="6" t="s">
        <v>12</v>
      </c>
      <c r="C105" s="7">
        <v>45909</v>
      </c>
      <c r="D105" s="11">
        <v>71500</v>
      </c>
      <c r="E105" s="12">
        <f>MAX($D$9:D105)</f>
        <v>72600</v>
      </c>
      <c r="F105" s="8" t="b">
        <f t="shared" si="1"/>
        <v>0</v>
      </c>
    </row>
    <row r="106" spans="1:6" x14ac:dyDescent="0.3">
      <c r="A106" s="6" t="s">
        <v>11</v>
      </c>
      <c r="B106" s="6" t="s">
        <v>12</v>
      </c>
      <c r="C106" s="7">
        <v>45910</v>
      </c>
      <c r="D106" s="11">
        <v>72600</v>
      </c>
      <c r="E106" s="12">
        <f>MAX($D$9:D106)</f>
        <v>72600</v>
      </c>
      <c r="F106" s="8" t="b">
        <f t="shared" si="1"/>
        <v>0</v>
      </c>
    </row>
    <row r="107" spans="1:6" x14ac:dyDescent="0.3">
      <c r="A107" s="6" t="s">
        <v>11</v>
      </c>
      <c r="B107" s="6" t="s">
        <v>12</v>
      </c>
      <c r="C107" s="7">
        <v>45911</v>
      </c>
      <c r="D107" s="11">
        <v>73400</v>
      </c>
      <c r="E107" s="12">
        <f>MAX($D$9:D107)</f>
        <v>73400</v>
      </c>
      <c r="F107" s="8" t="b">
        <f t="shared" si="1"/>
        <v>0</v>
      </c>
    </row>
    <row r="108" spans="1:6" x14ac:dyDescent="0.3">
      <c r="A108" s="6" t="s">
        <v>11</v>
      </c>
      <c r="B108" s="6" t="s">
        <v>12</v>
      </c>
      <c r="C108" s="7">
        <v>45912</v>
      </c>
      <c r="D108" s="11">
        <v>75400</v>
      </c>
      <c r="E108" s="12">
        <f>MAX($D$9:D108)</f>
        <v>75400</v>
      </c>
      <c r="F108" s="8" t="b">
        <f t="shared" si="1"/>
        <v>0</v>
      </c>
    </row>
    <row r="109" spans="1:6" x14ac:dyDescent="0.3">
      <c r="A109" s="6" t="s">
        <v>11</v>
      </c>
      <c r="B109" s="6" t="s">
        <v>12</v>
      </c>
      <c r="C109" s="7">
        <v>45915</v>
      </c>
      <c r="D109" s="11">
        <v>76500</v>
      </c>
      <c r="E109" s="12">
        <f>MAX($D$9:D109)</f>
        <v>76500</v>
      </c>
      <c r="F109" s="8" t="b">
        <f t="shared" si="1"/>
        <v>0</v>
      </c>
    </row>
    <row r="110" spans="1:6" x14ac:dyDescent="0.3">
      <c r="A110" s="6" t="s">
        <v>11</v>
      </c>
      <c r="B110" s="6" t="s">
        <v>12</v>
      </c>
      <c r="C110" s="7">
        <v>45916</v>
      </c>
      <c r="D110" s="11">
        <v>79400</v>
      </c>
      <c r="E110" s="12">
        <f>MAX($D$9:D110)</f>
        <v>79400</v>
      </c>
      <c r="F110" s="8" t="b">
        <f t="shared" si="1"/>
        <v>0</v>
      </c>
    </row>
    <row r="111" spans="1:6" x14ac:dyDescent="0.3">
      <c r="A111" s="6" t="s">
        <v>11</v>
      </c>
      <c r="B111" s="6" t="s">
        <v>12</v>
      </c>
      <c r="C111" s="7">
        <v>45917</v>
      </c>
      <c r="D111" s="11">
        <v>78200</v>
      </c>
      <c r="E111" s="12">
        <f>MAX($D$9:D111)</f>
        <v>79400</v>
      </c>
      <c r="F111" s="8" t="b">
        <f t="shared" si="1"/>
        <v>0</v>
      </c>
    </row>
    <row r="112" spans="1:6" x14ac:dyDescent="0.3">
      <c r="A112" s="6" t="s">
        <v>11</v>
      </c>
      <c r="B112" s="6" t="s">
        <v>12</v>
      </c>
      <c r="C112" s="7">
        <v>45918</v>
      </c>
      <c r="D112" s="11">
        <v>80500</v>
      </c>
      <c r="E112" s="12">
        <f>MAX($D$9:D112)</f>
        <v>80500</v>
      </c>
      <c r="F112" s="8" t="b">
        <f t="shared" si="1"/>
        <v>0</v>
      </c>
    </row>
    <row r="113" spans="1:6" x14ac:dyDescent="0.3">
      <c r="A113" s="6" t="s">
        <v>11</v>
      </c>
      <c r="B113" s="6" t="s">
        <v>12</v>
      </c>
      <c r="C113" s="7">
        <v>45919</v>
      </c>
      <c r="D113" s="11">
        <v>79700</v>
      </c>
      <c r="E113" s="12">
        <f>MAX($D$9:D113)</f>
        <v>80500</v>
      </c>
      <c r="F113" s="8" t="b">
        <f t="shared" si="1"/>
        <v>0</v>
      </c>
    </row>
    <row r="114" spans="1:6" x14ac:dyDescent="0.3">
      <c r="A114" s="6" t="s">
        <v>11</v>
      </c>
      <c r="B114" s="6" t="s">
        <v>12</v>
      </c>
      <c r="C114" s="7">
        <v>45922</v>
      </c>
      <c r="D114" s="11">
        <v>83500</v>
      </c>
      <c r="E114" s="12">
        <f>MAX($D$9:D114)</f>
        <v>83500</v>
      </c>
      <c r="F114" s="8" t="b">
        <f t="shared" si="1"/>
        <v>0</v>
      </c>
    </row>
    <row r="115" spans="1:6" x14ac:dyDescent="0.3">
      <c r="A115" s="6" t="s">
        <v>11</v>
      </c>
      <c r="B115" s="6" t="s">
        <v>12</v>
      </c>
      <c r="C115" s="7">
        <v>45923</v>
      </c>
      <c r="D115" s="11">
        <v>84700</v>
      </c>
      <c r="E115" s="12">
        <f>MAX($D$9:D115)</f>
        <v>84700</v>
      </c>
      <c r="F115" s="8" t="b">
        <f t="shared" si="1"/>
        <v>0</v>
      </c>
    </row>
    <row r="116" spans="1:6" x14ac:dyDescent="0.3">
      <c r="A116" s="6" t="s">
        <v>11</v>
      </c>
      <c r="B116" s="6" t="s">
        <v>12</v>
      </c>
      <c r="C116" s="7">
        <v>45924</v>
      </c>
      <c r="D116" s="11">
        <v>85400</v>
      </c>
      <c r="E116" s="12">
        <f>MAX($D$9:D116)</f>
        <v>85400</v>
      </c>
      <c r="F116" s="8" t="b">
        <f t="shared" si="1"/>
        <v>0</v>
      </c>
    </row>
    <row r="117" spans="1:6" x14ac:dyDescent="0.3">
      <c r="A117" s="6" t="s">
        <v>11</v>
      </c>
      <c r="B117" s="6" t="s">
        <v>12</v>
      </c>
      <c r="C117" s="7">
        <v>45925</v>
      </c>
      <c r="D117" s="11">
        <v>86100</v>
      </c>
      <c r="E117" s="12">
        <f>MAX($D$9:D117)</f>
        <v>86100</v>
      </c>
      <c r="F117" s="8" t="b">
        <f t="shared" si="1"/>
        <v>0</v>
      </c>
    </row>
    <row r="118" spans="1:6" x14ac:dyDescent="0.3">
      <c r="A118" s="6" t="s">
        <v>11</v>
      </c>
      <c r="B118" s="6" t="s">
        <v>12</v>
      </c>
      <c r="C118" s="7">
        <v>45926</v>
      </c>
      <c r="D118" s="11">
        <v>83300</v>
      </c>
      <c r="E118" s="12">
        <f>MAX($D$9:D118)</f>
        <v>86100</v>
      </c>
      <c r="F118" s="8" t="b">
        <f t="shared" si="1"/>
        <v>0</v>
      </c>
    </row>
    <row r="119" spans="1:6" x14ac:dyDescent="0.3">
      <c r="A119" s="6" t="s">
        <v>11</v>
      </c>
      <c r="B119" s="6" t="s">
        <v>12</v>
      </c>
      <c r="C119" s="7">
        <v>45929</v>
      </c>
      <c r="D119" s="11">
        <v>84200</v>
      </c>
      <c r="E119" s="12">
        <f>MAX($D$9:D119)</f>
        <v>86100</v>
      </c>
      <c r="F119" s="8" t="b">
        <f t="shared" si="1"/>
        <v>0</v>
      </c>
    </row>
    <row r="120" spans="1:6" x14ac:dyDescent="0.3">
      <c r="A120" s="6" t="s">
        <v>11</v>
      </c>
      <c r="B120" s="6" t="s">
        <v>12</v>
      </c>
      <c r="C120" s="7">
        <v>45930</v>
      </c>
      <c r="D120" s="11">
        <v>83900</v>
      </c>
      <c r="E120" s="12">
        <f>MAX($D$9:D120)</f>
        <v>86100</v>
      </c>
      <c r="F120" s="8" t="b">
        <f t="shared" si="1"/>
        <v>0</v>
      </c>
    </row>
    <row r="121" spans="1:6" x14ac:dyDescent="0.3">
      <c r="A121" s="6" t="s">
        <v>11</v>
      </c>
      <c r="B121" s="6" t="s">
        <v>12</v>
      </c>
      <c r="C121" s="7">
        <v>45931</v>
      </c>
      <c r="D121" s="11">
        <v>86000</v>
      </c>
      <c r="E121" s="12">
        <f>MAX($D$9:D121)</f>
        <v>86100</v>
      </c>
      <c r="F121" s="8" t="b">
        <f t="shared" si="1"/>
        <v>0</v>
      </c>
    </row>
    <row r="122" spans="1:6" x14ac:dyDescent="0.3">
      <c r="A122" s="6" t="s">
        <v>11</v>
      </c>
      <c r="B122" s="6" t="s">
        <v>12</v>
      </c>
      <c r="C122" s="7">
        <v>45932</v>
      </c>
      <c r="D122" s="11">
        <v>89000</v>
      </c>
      <c r="E122" s="12">
        <f>MAX($D$9:D122)</f>
        <v>89000</v>
      </c>
      <c r="F122" s="8" t="b">
        <f t="shared" si="1"/>
        <v>0</v>
      </c>
    </row>
    <row r="123" spans="1:6" x14ac:dyDescent="0.3">
      <c r="A123" s="6" t="s">
        <v>11</v>
      </c>
      <c r="B123" s="6" t="s">
        <v>12</v>
      </c>
      <c r="C123" s="7">
        <v>45940</v>
      </c>
      <c r="D123" s="11">
        <v>94400</v>
      </c>
      <c r="E123" s="12">
        <f>MAX($D$9:D123)</f>
        <v>94400</v>
      </c>
      <c r="F123" s="8" t="b">
        <f t="shared" si="1"/>
        <v>0</v>
      </c>
    </row>
    <row r="124" spans="1:6" x14ac:dyDescent="0.3">
      <c r="A124" s="6" t="s">
        <v>11</v>
      </c>
      <c r="B124" s="6" t="s">
        <v>12</v>
      </c>
      <c r="C124" s="7">
        <v>45943</v>
      </c>
      <c r="D124" s="11">
        <v>93300</v>
      </c>
      <c r="E124" s="12">
        <f>MAX($D$9:D124)</f>
        <v>94400</v>
      </c>
      <c r="F124" s="8" t="b">
        <f t="shared" si="1"/>
        <v>0</v>
      </c>
    </row>
    <row r="125" spans="1:6" x14ac:dyDescent="0.3">
      <c r="A125" s="6" t="s">
        <v>11</v>
      </c>
      <c r="B125" s="6" t="s">
        <v>12</v>
      </c>
      <c r="C125" s="7">
        <v>45944</v>
      </c>
      <c r="D125" s="11">
        <v>91600</v>
      </c>
      <c r="E125" s="12">
        <f>MAX($D$9:D125)</f>
        <v>94400</v>
      </c>
      <c r="F125" s="8" t="b">
        <f t="shared" si="1"/>
        <v>0</v>
      </c>
    </row>
    <row r="126" spans="1:6" x14ac:dyDescent="0.3">
      <c r="A126" s="6" t="s">
        <v>11</v>
      </c>
      <c r="B126" s="6" t="s">
        <v>12</v>
      </c>
      <c r="C126" s="7">
        <v>45945</v>
      </c>
      <c r="D126" s="11">
        <v>95000</v>
      </c>
      <c r="E126" s="12">
        <f>MAX($D$9:D126)</f>
        <v>95000</v>
      </c>
      <c r="F126" s="8" t="b">
        <f t="shared" si="1"/>
        <v>0</v>
      </c>
    </row>
    <row r="127" spans="1:6" x14ac:dyDescent="0.3">
      <c r="A127" s="6" t="s">
        <v>11</v>
      </c>
      <c r="B127" s="6" t="s">
        <v>12</v>
      </c>
      <c r="C127" s="7">
        <v>45946</v>
      </c>
      <c r="D127" s="11">
        <v>97700</v>
      </c>
      <c r="E127" s="12">
        <f>MAX($D$9:D127)</f>
        <v>97700</v>
      </c>
      <c r="F127" s="8" t="b">
        <f t="shared" si="1"/>
        <v>0</v>
      </c>
    </row>
    <row r="128" spans="1:6" x14ac:dyDescent="0.3">
      <c r="A128" s="6" t="s">
        <v>11</v>
      </c>
      <c r="B128" s="6" t="s">
        <v>12</v>
      </c>
      <c r="C128" s="7">
        <v>45947</v>
      </c>
      <c r="D128" s="11">
        <v>97900</v>
      </c>
      <c r="E128" s="12">
        <f>MAX($D$9:D128)</f>
        <v>97900</v>
      </c>
      <c r="F128" s="8" t="b">
        <f t="shared" si="1"/>
        <v>0</v>
      </c>
    </row>
    <row r="129" spans="1:6" x14ac:dyDescent="0.3">
      <c r="A129" s="6" t="s">
        <v>11</v>
      </c>
      <c r="B129" s="6" t="s">
        <v>12</v>
      </c>
      <c r="C129" s="7">
        <v>45950</v>
      </c>
      <c r="D129" s="11">
        <v>98100</v>
      </c>
      <c r="E129" s="12">
        <f>MAX($D$9:D129)</f>
        <v>98100</v>
      </c>
      <c r="F129" s="8" t="b">
        <f t="shared" si="1"/>
        <v>0</v>
      </c>
    </row>
    <row r="130" spans="1:6" x14ac:dyDescent="0.3">
      <c r="A130" s="6" t="s">
        <v>11</v>
      </c>
      <c r="B130" s="6" t="s">
        <v>12</v>
      </c>
      <c r="C130" s="7">
        <v>45951</v>
      </c>
      <c r="D130" s="11">
        <v>97500</v>
      </c>
      <c r="E130" s="12">
        <f>MAX($D$9:D130)</f>
        <v>98100</v>
      </c>
      <c r="F130" s="8" t="b">
        <f t="shared" si="1"/>
        <v>0</v>
      </c>
    </row>
    <row r="131" spans="1:6" x14ac:dyDescent="0.3">
      <c r="A131" s="6" t="s">
        <v>11</v>
      </c>
      <c r="B131" s="6" t="s">
        <v>12</v>
      </c>
      <c r="C131" s="7">
        <v>45952</v>
      </c>
      <c r="D131" s="11">
        <v>98600</v>
      </c>
      <c r="E131" s="12">
        <f>MAX($D$9:D131)</f>
        <v>98600</v>
      </c>
      <c r="F131" s="8" t="b">
        <f t="shared" si="1"/>
        <v>0</v>
      </c>
    </row>
    <row r="132" spans="1:6" x14ac:dyDescent="0.3">
      <c r="A132" s="6" t="s">
        <v>11</v>
      </c>
      <c r="B132" s="6" t="s">
        <v>12</v>
      </c>
      <c r="C132" s="7">
        <v>45953</v>
      </c>
      <c r="D132" s="11">
        <v>96500</v>
      </c>
      <c r="E132" s="12">
        <f>MAX($D$9:D132)</f>
        <v>98600</v>
      </c>
      <c r="F132" s="8" t="b">
        <f t="shared" si="1"/>
        <v>0</v>
      </c>
    </row>
    <row r="133" spans="1:6" x14ac:dyDescent="0.3">
      <c r="A133" s="6" t="s">
        <v>11</v>
      </c>
      <c r="B133" s="6" t="s">
        <v>12</v>
      </c>
      <c r="C133" s="7">
        <v>45954</v>
      </c>
      <c r="D133" s="11">
        <v>98800</v>
      </c>
      <c r="E133" s="12">
        <f>MAX($D$9:D133)</f>
        <v>98800</v>
      </c>
      <c r="F133" s="8" t="b">
        <f t="shared" si="1"/>
        <v>0</v>
      </c>
    </row>
    <row r="134" spans="1:6" x14ac:dyDescent="0.3">
      <c r="A134" s="6" t="s">
        <v>11</v>
      </c>
      <c r="B134" s="6" t="s">
        <v>12</v>
      </c>
      <c r="C134" s="7">
        <v>45957</v>
      </c>
      <c r="D134" s="11">
        <v>102000</v>
      </c>
      <c r="E134" s="12">
        <f>MAX($D$9:D134)</f>
        <v>102000</v>
      </c>
      <c r="F134" s="8" t="b">
        <f t="shared" si="1"/>
        <v>0</v>
      </c>
    </row>
    <row r="135" spans="1:6" x14ac:dyDescent="0.3">
      <c r="A135" s="6" t="s">
        <v>11</v>
      </c>
      <c r="B135" s="6" t="s">
        <v>12</v>
      </c>
      <c r="C135" s="7">
        <v>45958</v>
      </c>
      <c r="D135" s="11">
        <v>99500</v>
      </c>
      <c r="E135" s="12">
        <f>MAX($D$9:D135)</f>
        <v>102000</v>
      </c>
      <c r="F135" s="8" t="b">
        <f t="shared" si="1"/>
        <v>0</v>
      </c>
    </row>
    <row r="136" spans="1:6" x14ac:dyDescent="0.3">
      <c r="A136" s="6" t="s">
        <v>11</v>
      </c>
      <c r="B136" s="6" t="s">
        <v>12</v>
      </c>
      <c r="C136" s="7">
        <v>45959</v>
      </c>
      <c r="D136" s="11">
        <v>100500</v>
      </c>
      <c r="E136" s="12">
        <f>MAX($D$9:D136)</f>
        <v>102000</v>
      </c>
      <c r="F136" s="8" t="b">
        <f t="shared" si="1"/>
        <v>0</v>
      </c>
    </row>
    <row r="137" spans="1:6" x14ac:dyDescent="0.3">
      <c r="A137" s="6" t="s">
        <v>11</v>
      </c>
      <c r="B137" s="6" t="s">
        <v>12</v>
      </c>
      <c r="C137" s="7">
        <v>45960</v>
      </c>
      <c r="D137" s="11">
        <v>104100</v>
      </c>
      <c r="E137" s="12">
        <f>MAX($D$9:D137)</f>
        <v>104100</v>
      </c>
      <c r="F137" s="8" t="b">
        <f t="shared" ref="F137:F200" si="2">D137=MAX($D$9:$D$260)</f>
        <v>0</v>
      </c>
    </row>
    <row r="138" spans="1:6" x14ac:dyDescent="0.3">
      <c r="A138" s="6" t="s">
        <v>11</v>
      </c>
      <c r="B138" s="6" t="s">
        <v>12</v>
      </c>
      <c r="C138" s="7">
        <v>45961</v>
      </c>
      <c r="D138" s="11">
        <v>107500</v>
      </c>
      <c r="E138" s="12">
        <f>MAX($D$9:D138)</f>
        <v>107500</v>
      </c>
      <c r="F138" s="8" t="b">
        <f t="shared" si="2"/>
        <v>0</v>
      </c>
    </row>
    <row r="139" spans="1:6" x14ac:dyDescent="0.3">
      <c r="A139" s="6" t="s">
        <v>11</v>
      </c>
      <c r="B139" s="6" t="s">
        <v>12</v>
      </c>
      <c r="C139" s="7">
        <v>45964</v>
      </c>
      <c r="D139" s="11">
        <v>111100</v>
      </c>
      <c r="E139" s="12">
        <f>MAX($D$9:D139)</f>
        <v>111100</v>
      </c>
      <c r="F139" s="8" t="b">
        <f t="shared" si="2"/>
        <v>0</v>
      </c>
    </row>
    <row r="140" spans="1:6" x14ac:dyDescent="0.3">
      <c r="A140" s="6" t="s">
        <v>11</v>
      </c>
      <c r="B140" s="6" t="s">
        <v>12</v>
      </c>
      <c r="C140" s="7">
        <v>45965</v>
      </c>
      <c r="D140" s="11">
        <v>104900</v>
      </c>
      <c r="E140" s="12">
        <f>MAX($D$9:D140)</f>
        <v>111100</v>
      </c>
      <c r="F140" s="8" t="b">
        <f t="shared" si="2"/>
        <v>0</v>
      </c>
    </row>
    <row r="141" spans="1:6" x14ac:dyDescent="0.3">
      <c r="A141" s="6" t="s">
        <v>11</v>
      </c>
      <c r="B141" s="6" t="s">
        <v>12</v>
      </c>
      <c r="C141" s="7">
        <v>45966</v>
      </c>
      <c r="D141" s="11">
        <v>100600</v>
      </c>
      <c r="E141" s="12">
        <f>MAX($D$9:D141)</f>
        <v>111100</v>
      </c>
      <c r="F141" s="8" t="b">
        <f t="shared" si="2"/>
        <v>0</v>
      </c>
    </row>
    <row r="142" spans="1:6" x14ac:dyDescent="0.3">
      <c r="A142" s="6" t="s">
        <v>11</v>
      </c>
      <c r="B142" s="6" t="s">
        <v>12</v>
      </c>
      <c r="C142" s="7">
        <v>45967</v>
      </c>
      <c r="D142" s="11">
        <v>99200</v>
      </c>
      <c r="E142" s="12">
        <f>MAX($D$9:D142)</f>
        <v>111100</v>
      </c>
      <c r="F142" s="8" t="b">
        <f t="shared" si="2"/>
        <v>0</v>
      </c>
    </row>
    <row r="143" spans="1:6" x14ac:dyDescent="0.3">
      <c r="A143" s="6" t="s">
        <v>11</v>
      </c>
      <c r="B143" s="6" t="s">
        <v>12</v>
      </c>
      <c r="C143" s="7">
        <v>45968</v>
      </c>
      <c r="D143" s="11">
        <v>97900</v>
      </c>
      <c r="E143" s="12">
        <f>MAX($D$9:D143)</f>
        <v>111100</v>
      </c>
      <c r="F143" s="8" t="b">
        <f t="shared" si="2"/>
        <v>0</v>
      </c>
    </row>
    <row r="144" spans="1:6" x14ac:dyDescent="0.3">
      <c r="A144" s="6" t="s">
        <v>11</v>
      </c>
      <c r="B144" s="6" t="s">
        <v>12</v>
      </c>
      <c r="C144" s="7">
        <v>45971</v>
      </c>
      <c r="D144" s="11">
        <v>100600</v>
      </c>
      <c r="E144" s="12">
        <f>MAX($D$9:D144)</f>
        <v>111100</v>
      </c>
      <c r="F144" s="8" t="b">
        <f t="shared" si="2"/>
        <v>0</v>
      </c>
    </row>
    <row r="145" spans="1:6" x14ac:dyDescent="0.3">
      <c r="A145" s="6" t="s">
        <v>11</v>
      </c>
      <c r="B145" s="6" t="s">
        <v>12</v>
      </c>
      <c r="C145" s="7">
        <v>45972</v>
      </c>
      <c r="D145" s="11">
        <v>103500</v>
      </c>
      <c r="E145" s="12">
        <f>MAX($D$9:D145)</f>
        <v>111100</v>
      </c>
      <c r="F145" s="8" t="b">
        <f t="shared" si="2"/>
        <v>0</v>
      </c>
    </row>
    <row r="146" spans="1:6" x14ac:dyDescent="0.3">
      <c r="A146" s="6" t="s">
        <v>11</v>
      </c>
      <c r="B146" s="6" t="s">
        <v>12</v>
      </c>
      <c r="C146" s="7">
        <v>45973</v>
      </c>
      <c r="D146" s="11">
        <v>103100</v>
      </c>
      <c r="E146" s="12">
        <f>MAX($D$9:D146)</f>
        <v>111100</v>
      </c>
      <c r="F146" s="8" t="b">
        <f t="shared" si="2"/>
        <v>0</v>
      </c>
    </row>
    <row r="147" spans="1:6" x14ac:dyDescent="0.3">
      <c r="A147" s="6" t="s">
        <v>11</v>
      </c>
      <c r="B147" s="6" t="s">
        <v>12</v>
      </c>
      <c r="C147" s="7">
        <v>45974</v>
      </c>
      <c r="D147" s="11">
        <v>102800</v>
      </c>
      <c r="E147" s="12">
        <f>MAX($D$9:D147)</f>
        <v>111100</v>
      </c>
      <c r="F147" s="8" t="b">
        <f t="shared" si="2"/>
        <v>0</v>
      </c>
    </row>
    <row r="148" spans="1:6" x14ac:dyDescent="0.3">
      <c r="A148" s="6" t="s">
        <v>11</v>
      </c>
      <c r="B148" s="6" t="s">
        <v>12</v>
      </c>
      <c r="C148" s="7">
        <v>45975</v>
      </c>
      <c r="D148" s="11">
        <v>97200</v>
      </c>
      <c r="E148" s="12">
        <f>MAX($D$9:D148)</f>
        <v>111100</v>
      </c>
      <c r="F148" s="8" t="b">
        <f t="shared" si="2"/>
        <v>0</v>
      </c>
    </row>
    <row r="149" spans="1:6" x14ac:dyDescent="0.3">
      <c r="A149" s="6" t="s">
        <v>11</v>
      </c>
      <c r="B149" s="6" t="s">
        <v>12</v>
      </c>
      <c r="C149" s="7">
        <v>45978</v>
      </c>
      <c r="D149" s="11">
        <v>100600</v>
      </c>
      <c r="E149" s="12">
        <f>MAX($D$9:D149)</f>
        <v>111100</v>
      </c>
      <c r="F149" s="8" t="b">
        <f t="shared" si="2"/>
        <v>0</v>
      </c>
    </row>
    <row r="150" spans="1:6" x14ac:dyDescent="0.3">
      <c r="A150" s="6" t="s">
        <v>11</v>
      </c>
      <c r="B150" s="6" t="s">
        <v>12</v>
      </c>
      <c r="C150" s="7">
        <v>45979</v>
      </c>
      <c r="D150" s="11">
        <v>97800</v>
      </c>
      <c r="E150" s="12">
        <f>MAX($D$9:D150)</f>
        <v>111100</v>
      </c>
      <c r="F150" s="8" t="b">
        <f t="shared" si="2"/>
        <v>0</v>
      </c>
    </row>
    <row r="151" spans="1:6" x14ac:dyDescent="0.3">
      <c r="A151" s="6" t="s">
        <v>11</v>
      </c>
      <c r="B151" s="6" t="s">
        <v>12</v>
      </c>
      <c r="C151" s="7">
        <v>45980</v>
      </c>
      <c r="D151" s="11">
        <v>96500</v>
      </c>
      <c r="E151" s="12">
        <f>MAX($D$9:D151)</f>
        <v>111100</v>
      </c>
      <c r="F151" s="8" t="b">
        <f t="shared" si="2"/>
        <v>0</v>
      </c>
    </row>
    <row r="152" spans="1:6" x14ac:dyDescent="0.3">
      <c r="A152" s="6" t="s">
        <v>11</v>
      </c>
      <c r="B152" s="6" t="s">
        <v>12</v>
      </c>
      <c r="C152" s="7">
        <v>45981</v>
      </c>
      <c r="D152" s="11">
        <v>100600</v>
      </c>
      <c r="E152" s="12">
        <f>MAX($D$9:D152)</f>
        <v>111100</v>
      </c>
      <c r="F152" s="8" t="b">
        <f t="shared" si="2"/>
        <v>0</v>
      </c>
    </row>
    <row r="153" spans="1:6" x14ac:dyDescent="0.3">
      <c r="A153" s="6" t="s">
        <v>11</v>
      </c>
      <c r="B153" s="6" t="s">
        <v>12</v>
      </c>
      <c r="C153" s="7">
        <v>45982</v>
      </c>
      <c r="D153" s="11">
        <v>94800</v>
      </c>
      <c r="E153" s="12">
        <f>MAX($D$9:D153)</f>
        <v>111100</v>
      </c>
      <c r="F153" s="8" t="b">
        <f t="shared" si="2"/>
        <v>0</v>
      </c>
    </row>
    <row r="154" spans="1:6" x14ac:dyDescent="0.3">
      <c r="A154" s="6" t="s">
        <v>11</v>
      </c>
      <c r="B154" s="6" t="s">
        <v>12</v>
      </c>
      <c r="C154" s="7">
        <v>45985</v>
      </c>
      <c r="D154" s="11">
        <v>96700</v>
      </c>
      <c r="E154" s="12">
        <f>MAX($D$9:D154)</f>
        <v>111100</v>
      </c>
      <c r="F154" s="8" t="b">
        <f t="shared" si="2"/>
        <v>0</v>
      </c>
    </row>
    <row r="155" spans="1:6" x14ac:dyDescent="0.3">
      <c r="A155" s="6" t="s">
        <v>11</v>
      </c>
      <c r="B155" s="6" t="s">
        <v>12</v>
      </c>
      <c r="C155" s="7">
        <v>45986</v>
      </c>
      <c r="D155" s="11">
        <v>99300</v>
      </c>
      <c r="E155" s="12">
        <f>MAX($D$9:D155)</f>
        <v>111100</v>
      </c>
      <c r="F155" s="8" t="b">
        <f t="shared" si="2"/>
        <v>0</v>
      </c>
    </row>
    <row r="156" spans="1:6" x14ac:dyDescent="0.3">
      <c r="A156" s="6" t="s">
        <v>11</v>
      </c>
      <c r="B156" s="6" t="s">
        <v>12</v>
      </c>
      <c r="C156" s="7">
        <v>45987</v>
      </c>
      <c r="D156" s="11">
        <v>102800</v>
      </c>
      <c r="E156" s="12">
        <f>MAX($D$9:D156)</f>
        <v>111100</v>
      </c>
      <c r="F156" s="8" t="b">
        <f t="shared" si="2"/>
        <v>0</v>
      </c>
    </row>
    <row r="157" spans="1:6" x14ac:dyDescent="0.3">
      <c r="A157" s="6" t="s">
        <v>11</v>
      </c>
      <c r="B157" s="6" t="s">
        <v>12</v>
      </c>
      <c r="C157" s="7">
        <v>45988</v>
      </c>
      <c r="D157" s="11">
        <v>103500</v>
      </c>
      <c r="E157" s="12">
        <f>MAX($D$9:D157)</f>
        <v>111100</v>
      </c>
      <c r="F157" s="8" t="b">
        <f t="shared" si="2"/>
        <v>0</v>
      </c>
    </row>
    <row r="158" spans="1:6" x14ac:dyDescent="0.3">
      <c r="A158" s="6" t="s">
        <v>11</v>
      </c>
      <c r="B158" s="6" t="s">
        <v>12</v>
      </c>
      <c r="C158" s="7">
        <v>45989</v>
      </c>
      <c r="D158" s="11">
        <v>100500</v>
      </c>
      <c r="E158" s="12">
        <f>MAX($D$9:D158)</f>
        <v>111100</v>
      </c>
      <c r="F158" s="8" t="b">
        <f t="shared" si="2"/>
        <v>0</v>
      </c>
    </row>
    <row r="159" spans="1:6" x14ac:dyDescent="0.3">
      <c r="A159" s="6" t="s">
        <v>11</v>
      </c>
      <c r="B159" s="6" t="s">
        <v>12</v>
      </c>
      <c r="C159" s="7">
        <v>45992</v>
      </c>
      <c r="D159" s="11">
        <v>100800</v>
      </c>
      <c r="E159" s="12">
        <f>MAX($D$9:D159)</f>
        <v>111100</v>
      </c>
      <c r="F159" s="8" t="b">
        <f t="shared" si="2"/>
        <v>0</v>
      </c>
    </row>
    <row r="160" spans="1:6" x14ac:dyDescent="0.3">
      <c r="A160" s="6" t="s">
        <v>11</v>
      </c>
      <c r="B160" s="6" t="s">
        <v>12</v>
      </c>
      <c r="C160" s="7">
        <v>45993</v>
      </c>
      <c r="D160" s="11">
        <v>103400</v>
      </c>
      <c r="E160" s="12">
        <f>MAX($D$9:D160)</f>
        <v>111100</v>
      </c>
      <c r="F160" s="8" t="b">
        <f t="shared" si="2"/>
        <v>0</v>
      </c>
    </row>
    <row r="161" spans="1:6" x14ac:dyDescent="0.3">
      <c r="A161" s="6" t="s">
        <v>11</v>
      </c>
      <c r="B161" s="6" t="s">
        <v>12</v>
      </c>
      <c r="C161" s="7">
        <v>45994</v>
      </c>
      <c r="D161" s="11">
        <v>104500</v>
      </c>
      <c r="E161" s="12">
        <f>MAX($D$9:D161)</f>
        <v>111100</v>
      </c>
      <c r="F161" s="8" t="b">
        <f t="shared" si="2"/>
        <v>0</v>
      </c>
    </row>
    <row r="162" spans="1:6" x14ac:dyDescent="0.3">
      <c r="A162" s="6" t="s">
        <v>11</v>
      </c>
      <c r="B162" s="6" t="s">
        <v>12</v>
      </c>
      <c r="C162" s="7">
        <v>45995</v>
      </c>
      <c r="D162" s="11">
        <v>105100</v>
      </c>
      <c r="E162" s="12">
        <f>MAX($D$9:D162)</f>
        <v>111100</v>
      </c>
      <c r="F162" s="8" t="b">
        <f t="shared" si="2"/>
        <v>0</v>
      </c>
    </row>
    <row r="163" spans="1:6" x14ac:dyDescent="0.3">
      <c r="A163" s="6" t="s">
        <v>11</v>
      </c>
      <c r="B163" s="6" t="s">
        <v>12</v>
      </c>
      <c r="C163" s="7">
        <v>45996</v>
      </c>
      <c r="D163" s="11">
        <v>108400</v>
      </c>
      <c r="E163" s="12">
        <f>MAX($D$9:D163)</f>
        <v>111100</v>
      </c>
      <c r="F163" s="8" t="b">
        <f t="shared" si="2"/>
        <v>0</v>
      </c>
    </row>
    <row r="164" spans="1:6" x14ac:dyDescent="0.3">
      <c r="A164" s="6" t="s">
        <v>11</v>
      </c>
      <c r="B164" s="6" t="s">
        <v>12</v>
      </c>
      <c r="C164" s="7">
        <v>45999</v>
      </c>
      <c r="D164" s="11">
        <v>109500</v>
      </c>
      <c r="E164" s="12">
        <f>MAX($D$9:D164)</f>
        <v>111100</v>
      </c>
      <c r="F164" s="8" t="b">
        <f t="shared" si="2"/>
        <v>0</v>
      </c>
    </row>
    <row r="165" spans="1:6" x14ac:dyDescent="0.3">
      <c r="A165" s="6" t="s">
        <v>11</v>
      </c>
      <c r="B165" s="6" t="s">
        <v>12</v>
      </c>
      <c r="C165" s="7">
        <v>46000</v>
      </c>
      <c r="D165" s="11">
        <v>108400</v>
      </c>
      <c r="E165" s="12">
        <f>MAX($D$9:D165)</f>
        <v>111100</v>
      </c>
      <c r="F165" s="8" t="b">
        <f t="shared" si="2"/>
        <v>0</v>
      </c>
    </row>
    <row r="166" spans="1:6" x14ac:dyDescent="0.3">
      <c r="A166" s="6" t="s">
        <v>11</v>
      </c>
      <c r="B166" s="6" t="s">
        <v>12</v>
      </c>
      <c r="C166" s="7">
        <v>46001</v>
      </c>
      <c r="D166" s="11">
        <v>108000</v>
      </c>
      <c r="E166" s="12">
        <f>MAX($D$9:D166)</f>
        <v>111100</v>
      </c>
      <c r="F166" s="8" t="b">
        <f t="shared" si="2"/>
        <v>0</v>
      </c>
    </row>
    <row r="167" spans="1:6" x14ac:dyDescent="0.3">
      <c r="A167" s="6" t="s">
        <v>11</v>
      </c>
      <c r="B167" s="6" t="s">
        <v>12</v>
      </c>
      <c r="C167" s="7">
        <v>46002</v>
      </c>
      <c r="D167" s="11">
        <v>107300</v>
      </c>
      <c r="E167" s="12">
        <f>MAX($D$9:D167)</f>
        <v>111100</v>
      </c>
      <c r="F167" s="8" t="b">
        <f t="shared" si="2"/>
        <v>0</v>
      </c>
    </row>
    <row r="168" spans="1:6" x14ac:dyDescent="0.3">
      <c r="A168" s="6" t="s">
        <v>11</v>
      </c>
      <c r="B168" s="6" t="s">
        <v>12</v>
      </c>
      <c r="C168" s="7">
        <v>46003</v>
      </c>
      <c r="D168" s="11">
        <v>108900</v>
      </c>
      <c r="E168" s="12">
        <f>MAX($D$9:D168)</f>
        <v>111100</v>
      </c>
      <c r="F168" s="8" t="b">
        <f t="shared" si="2"/>
        <v>0</v>
      </c>
    </row>
    <row r="169" spans="1:6" x14ac:dyDescent="0.3">
      <c r="A169" s="6" t="s">
        <v>11</v>
      </c>
      <c r="B169" s="6" t="s">
        <v>12</v>
      </c>
      <c r="C169" s="7">
        <v>46006</v>
      </c>
      <c r="D169" s="11">
        <v>104800</v>
      </c>
      <c r="E169" s="12">
        <f>MAX($D$9:D169)</f>
        <v>111100</v>
      </c>
      <c r="F169" s="8" t="b">
        <f t="shared" si="2"/>
        <v>0</v>
      </c>
    </row>
    <row r="170" spans="1:6" x14ac:dyDescent="0.3">
      <c r="A170" s="6" t="s">
        <v>11</v>
      </c>
      <c r="B170" s="6" t="s">
        <v>12</v>
      </c>
      <c r="C170" s="7">
        <v>46007</v>
      </c>
      <c r="D170" s="11">
        <v>102800</v>
      </c>
      <c r="E170" s="12">
        <f>MAX($D$9:D170)</f>
        <v>111100</v>
      </c>
      <c r="F170" s="8" t="b">
        <f t="shared" si="2"/>
        <v>0</v>
      </c>
    </row>
    <row r="171" spans="1:6" x14ac:dyDescent="0.3">
      <c r="A171" s="6" t="s">
        <v>11</v>
      </c>
      <c r="B171" s="6" t="s">
        <v>12</v>
      </c>
      <c r="C171" s="7">
        <v>46008</v>
      </c>
      <c r="D171" s="11">
        <v>107900</v>
      </c>
      <c r="E171" s="12">
        <f>MAX($D$9:D171)</f>
        <v>111100</v>
      </c>
      <c r="F171" s="8" t="b">
        <f t="shared" si="2"/>
        <v>0</v>
      </c>
    </row>
    <row r="172" spans="1:6" x14ac:dyDescent="0.3">
      <c r="A172" s="6" t="s">
        <v>11</v>
      </c>
      <c r="B172" s="6" t="s">
        <v>12</v>
      </c>
      <c r="C172" s="7">
        <v>46009</v>
      </c>
      <c r="D172" s="11">
        <v>107600</v>
      </c>
      <c r="E172" s="12">
        <f>MAX($D$9:D172)</f>
        <v>111100</v>
      </c>
      <c r="F172" s="8" t="b">
        <f t="shared" si="2"/>
        <v>0</v>
      </c>
    </row>
    <row r="173" spans="1:6" x14ac:dyDescent="0.3">
      <c r="A173" s="6" t="s">
        <v>11</v>
      </c>
      <c r="B173" s="6" t="s">
        <v>12</v>
      </c>
      <c r="C173" s="7">
        <v>46010</v>
      </c>
      <c r="D173" s="11">
        <v>106300</v>
      </c>
      <c r="E173" s="12">
        <f>MAX($D$9:D173)</f>
        <v>111100</v>
      </c>
      <c r="F173" s="8" t="b">
        <f t="shared" si="2"/>
        <v>0</v>
      </c>
    </row>
    <row r="174" spans="1:6" x14ac:dyDescent="0.3">
      <c r="A174" s="6" t="s">
        <v>11</v>
      </c>
      <c r="B174" s="6" t="s">
        <v>12</v>
      </c>
      <c r="C174" s="7">
        <v>46013</v>
      </c>
      <c r="D174" s="11">
        <v>110500</v>
      </c>
      <c r="E174" s="12">
        <f>MAX($D$9:D174)</f>
        <v>111100</v>
      </c>
      <c r="F174" s="8" t="b">
        <f t="shared" si="2"/>
        <v>0</v>
      </c>
    </row>
    <row r="175" spans="1:6" x14ac:dyDescent="0.3">
      <c r="A175" s="6" t="s">
        <v>11</v>
      </c>
      <c r="B175" s="6" t="s">
        <v>12</v>
      </c>
      <c r="C175" s="7">
        <v>46014</v>
      </c>
      <c r="D175" s="11">
        <v>111500</v>
      </c>
      <c r="E175" s="12">
        <f>MAX($D$9:D175)</f>
        <v>111500</v>
      </c>
      <c r="F175" s="8" t="b">
        <f t="shared" si="2"/>
        <v>0</v>
      </c>
    </row>
    <row r="176" spans="1:6" x14ac:dyDescent="0.3">
      <c r="A176" s="6" t="s">
        <v>11</v>
      </c>
      <c r="B176" s="6" t="s">
        <v>12</v>
      </c>
      <c r="C176" s="7">
        <v>46015</v>
      </c>
      <c r="D176" s="11">
        <v>111100</v>
      </c>
      <c r="E176" s="12">
        <f>MAX($D$9:D176)</f>
        <v>111500</v>
      </c>
      <c r="F176" s="8" t="b">
        <f t="shared" si="2"/>
        <v>0</v>
      </c>
    </row>
    <row r="177" spans="1:6" x14ac:dyDescent="0.3">
      <c r="A177" s="6" t="s">
        <v>11</v>
      </c>
      <c r="B177" s="6" t="s">
        <v>12</v>
      </c>
      <c r="C177" s="7">
        <v>46017</v>
      </c>
      <c r="D177" s="11">
        <v>117000</v>
      </c>
      <c r="E177" s="12">
        <f>MAX($D$9:D177)</f>
        <v>117000</v>
      </c>
      <c r="F177" s="8" t="b">
        <f t="shared" si="2"/>
        <v>0</v>
      </c>
    </row>
    <row r="178" spans="1:6" x14ac:dyDescent="0.3">
      <c r="A178" s="6" t="s">
        <v>11</v>
      </c>
      <c r="B178" s="6" t="s">
        <v>12</v>
      </c>
      <c r="C178" s="7">
        <v>46020</v>
      </c>
      <c r="D178" s="11">
        <v>119500</v>
      </c>
      <c r="E178" s="12">
        <f>MAX($D$9:D178)</f>
        <v>119500</v>
      </c>
      <c r="F178" s="8" t="b">
        <f t="shared" si="2"/>
        <v>0</v>
      </c>
    </row>
    <row r="179" spans="1:6" x14ac:dyDescent="0.3">
      <c r="A179" s="6" t="s">
        <v>11</v>
      </c>
      <c r="B179" s="6" t="s">
        <v>12</v>
      </c>
      <c r="C179" s="7">
        <v>46021</v>
      </c>
      <c r="D179" s="11">
        <v>119900</v>
      </c>
      <c r="E179" s="12">
        <f>MAX($D$9:D179)</f>
        <v>119900</v>
      </c>
      <c r="F179" s="8" t="b">
        <f t="shared" si="2"/>
        <v>0</v>
      </c>
    </row>
    <row r="180" spans="1:6" x14ac:dyDescent="0.3">
      <c r="A180" s="6" t="s">
        <v>11</v>
      </c>
      <c r="B180" s="6" t="s">
        <v>12</v>
      </c>
      <c r="C180" s="7">
        <v>46024</v>
      </c>
      <c r="D180" s="11">
        <v>128500</v>
      </c>
      <c r="E180" s="12">
        <f>MAX($D$9:D180)</f>
        <v>128500</v>
      </c>
      <c r="F180" s="8" t="b">
        <f t="shared" si="2"/>
        <v>0</v>
      </c>
    </row>
    <row r="181" spans="1:6" x14ac:dyDescent="0.3">
      <c r="A181" s="6" t="s">
        <v>11</v>
      </c>
      <c r="B181" s="6" t="s">
        <v>12</v>
      </c>
      <c r="C181" s="7">
        <v>46027</v>
      </c>
      <c r="D181" s="11">
        <v>138100</v>
      </c>
      <c r="E181" s="12">
        <f>MAX($D$9:D181)</f>
        <v>138100</v>
      </c>
      <c r="F181" s="8" t="b">
        <f t="shared" si="2"/>
        <v>0</v>
      </c>
    </row>
    <row r="182" spans="1:6" x14ac:dyDescent="0.3">
      <c r="A182" s="6" t="s">
        <v>11</v>
      </c>
      <c r="B182" s="6" t="s">
        <v>12</v>
      </c>
      <c r="C182" s="7">
        <v>46028</v>
      </c>
      <c r="D182" s="11">
        <v>138900</v>
      </c>
      <c r="E182" s="12">
        <f>MAX($D$9:D182)</f>
        <v>138900</v>
      </c>
      <c r="F182" s="8" t="b">
        <f t="shared" si="2"/>
        <v>0</v>
      </c>
    </row>
    <row r="183" spans="1:6" x14ac:dyDescent="0.3">
      <c r="A183" s="6" t="s">
        <v>11</v>
      </c>
      <c r="B183" s="6" t="s">
        <v>12</v>
      </c>
      <c r="C183" s="7">
        <v>46029</v>
      </c>
      <c r="D183" s="11">
        <v>141000</v>
      </c>
      <c r="E183" s="12">
        <f>MAX($D$9:D183)</f>
        <v>141000</v>
      </c>
      <c r="F183" s="8" t="b">
        <f t="shared" si="2"/>
        <v>0</v>
      </c>
    </row>
    <row r="184" spans="1:6" x14ac:dyDescent="0.3">
      <c r="A184" s="6" t="s">
        <v>11</v>
      </c>
      <c r="B184" s="6" t="s">
        <v>12</v>
      </c>
      <c r="C184" s="7">
        <v>46030</v>
      </c>
      <c r="D184" s="11">
        <v>138800</v>
      </c>
      <c r="E184" s="12">
        <f>MAX($D$9:D184)</f>
        <v>141000</v>
      </c>
      <c r="F184" s="8" t="b">
        <f t="shared" si="2"/>
        <v>0</v>
      </c>
    </row>
    <row r="185" spans="1:6" x14ac:dyDescent="0.3">
      <c r="A185" s="6" t="s">
        <v>11</v>
      </c>
      <c r="B185" s="6" t="s">
        <v>12</v>
      </c>
      <c r="C185" s="7">
        <v>46031</v>
      </c>
      <c r="D185" s="11">
        <v>139000</v>
      </c>
      <c r="E185" s="12">
        <f>MAX($D$9:D185)</f>
        <v>141000</v>
      </c>
      <c r="F185" s="8" t="b">
        <f t="shared" si="2"/>
        <v>0</v>
      </c>
    </row>
    <row r="186" spans="1:6" x14ac:dyDescent="0.3">
      <c r="A186" s="6" t="s">
        <v>11</v>
      </c>
      <c r="B186" s="6" t="s">
        <v>12</v>
      </c>
      <c r="C186" s="7">
        <v>46034</v>
      </c>
      <c r="D186" s="11">
        <v>138800</v>
      </c>
      <c r="E186" s="12">
        <f>MAX($D$9:D186)</f>
        <v>141000</v>
      </c>
      <c r="F186" s="8" t="b">
        <f t="shared" si="2"/>
        <v>0</v>
      </c>
    </row>
    <row r="187" spans="1:6" x14ac:dyDescent="0.3">
      <c r="A187" s="6" t="s">
        <v>11</v>
      </c>
      <c r="B187" s="6" t="s">
        <v>12</v>
      </c>
      <c r="C187" s="7">
        <v>46035</v>
      </c>
      <c r="D187" s="11">
        <v>137600</v>
      </c>
      <c r="E187" s="12">
        <f>MAX($D$9:D187)</f>
        <v>141000</v>
      </c>
      <c r="F187" s="8" t="b">
        <f t="shared" si="2"/>
        <v>0</v>
      </c>
    </row>
    <row r="188" spans="1:6" x14ac:dyDescent="0.3">
      <c r="A188" s="6" t="s">
        <v>11</v>
      </c>
      <c r="B188" s="6" t="s">
        <v>12</v>
      </c>
      <c r="C188" s="7">
        <v>46036</v>
      </c>
      <c r="D188" s="11">
        <v>140300</v>
      </c>
      <c r="E188" s="12">
        <f>MAX($D$9:D188)</f>
        <v>141000</v>
      </c>
      <c r="F188" s="8" t="b">
        <f t="shared" si="2"/>
        <v>0</v>
      </c>
    </row>
    <row r="189" spans="1:6" x14ac:dyDescent="0.3">
      <c r="A189" s="6" t="s">
        <v>11</v>
      </c>
      <c r="B189" s="6" t="s">
        <v>12</v>
      </c>
      <c r="C189" s="7">
        <v>46037</v>
      </c>
      <c r="D189" s="11">
        <v>143900</v>
      </c>
      <c r="E189" s="12">
        <f>MAX($D$9:D189)</f>
        <v>143900</v>
      </c>
      <c r="F189" s="8" t="b">
        <f t="shared" si="2"/>
        <v>0</v>
      </c>
    </row>
    <row r="190" spans="1:6" x14ac:dyDescent="0.3">
      <c r="A190" s="6" t="s">
        <v>11</v>
      </c>
      <c r="B190" s="6" t="s">
        <v>12</v>
      </c>
      <c r="C190" s="7">
        <v>46038</v>
      </c>
      <c r="D190" s="11">
        <v>148900</v>
      </c>
      <c r="E190" s="12">
        <f>MAX($D$9:D190)</f>
        <v>148900</v>
      </c>
      <c r="F190" s="8" t="b">
        <f t="shared" si="2"/>
        <v>0</v>
      </c>
    </row>
    <row r="191" spans="1:6" x14ac:dyDescent="0.3">
      <c r="A191" s="6" t="s">
        <v>11</v>
      </c>
      <c r="B191" s="6" t="s">
        <v>12</v>
      </c>
      <c r="C191" s="7">
        <v>46041</v>
      </c>
      <c r="D191" s="11">
        <v>149300</v>
      </c>
      <c r="E191" s="12">
        <f>MAX($D$9:D191)</f>
        <v>149300</v>
      </c>
      <c r="F191" s="8" t="b">
        <f t="shared" si="2"/>
        <v>0</v>
      </c>
    </row>
    <row r="192" spans="1:6" x14ac:dyDescent="0.3">
      <c r="A192" s="6" t="s">
        <v>11</v>
      </c>
      <c r="B192" s="6" t="s">
        <v>12</v>
      </c>
      <c r="C192" s="7">
        <v>46042</v>
      </c>
      <c r="D192" s="11">
        <v>145200</v>
      </c>
      <c r="E192" s="12">
        <f>MAX($D$9:D192)</f>
        <v>149300</v>
      </c>
      <c r="F192" s="8" t="b">
        <f t="shared" si="2"/>
        <v>0</v>
      </c>
    </row>
    <row r="193" spans="1:6" x14ac:dyDescent="0.3">
      <c r="A193" s="6" t="s">
        <v>11</v>
      </c>
      <c r="B193" s="6" t="s">
        <v>12</v>
      </c>
      <c r="C193" s="7">
        <v>46043</v>
      </c>
      <c r="D193" s="11">
        <v>149500</v>
      </c>
      <c r="E193" s="12">
        <f>MAX($D$9:D193)</f>
        <v>149500</v>
      </c>
      <c r="F193" s="8" t="b">
        <f t="shared" si="2"/>
        <v>0</v>
      </c>
    </row>
    <row r="194" spans="1:6" x14ac:dyDescent="0.3">
      <c r="A194" s="6" t="s">
        <v>11</v>
      </c>
      <c r="B194" s="6" t="s">
        <v>12</v>
      </c>
      <c r="C194" s="7">
        <v>46044</v>
      </c>
      <c r="D194" s="11">
        <v>152300</v>
      </c>
      <c r="E194" s="12">
        <f>MAX($D$9:D194)</f>
        <v>152300</v>
      </c>
      <c r="F194" s="8" t="b">
        <f t="shared" si="2"/>
        <v>0</v>
      </c>
    </row>
    <row r="195" spans="1:6" x14ac:dyDescent="0.3">
      <c r="A195" s="6" t="s">
        <v>11</v>
      </c>
      <c r="B195" s="6" t="s">
        <v>12</v>
      </c>
      <c r="C195" s="7">
        <v>46045</v>
      </c>
      <c r="D195" s="11">
        <v>152100</v>
      </c>
      <c r="E195" s="12">
        <f>MAX($D$9:D195)</f>
        <v>152300</v>
      </c>
      <c r="F195" s="8" t="b">
        <f t="shared" si="2"/>
        <v>0</v>
      </c>
    </row>
    <row r="196" spans="1:6" x14ac:dyDescent="0.3">
      <c r="A196" s="6" t="s">
        <v>11</v>
      </c>
      <c r="B196" s="6" t="s">
        <v>12</v>
      </c>
      <c r="C196" s="7">
        <v>46048</v>
      </c>
      <c r="D196" s="11">
        <v>152100</v>
      </c>
      <c r="E196" s="12">
        <f>MAX($D$9:D196)</f>
        <v>152300</v>
      </c>
      <c r="F196" s="8" t="b">
        <f t="shared" si="2"/>
        <v>0</v>
      </c>
    </row>
    <row r="197" spans="1:6" x14ac:dyDescent="0.3">
      <c r="A197" s="6" t="s">
        <v>11</v>
      </c>
      <c r="B197" s="6" t="s">
        <v>12</v>
      </c>
      <c r="C197" s="7">
        <v>46049</v>
      </c>
      <c r="D197" s="11">
        <v>159500</v>
      </c>
      <c r="E197" s="12">
        <f>MAX($D$9:D197)</f>
        <v>159500</v>
      </c>
      <c r="F197" s="8" t="b">
        <f t="shared" si="2"/>
        <v>0</v>
      </c>
    </row>
    <row r="198" spans="1:6" x14ac:dyDescent="0.3">
      <c r="A198" s="6" t="s">
        <v>11</v>
      </c>
      <c r="B198" s="6" t="s">
        <v>12</v>
      </c>
      <c r="C198" s="7">
        <v>46050</v>
      </c>
      <c r="D198" s="11">
        <v>162400</v>
      </c>
      <c r="E198" s="12">
        <f>MAX($D$9:D198)</f>
        <v>162400</v>
      </c>
      <c r="F198" s="8" t="b">
        <f t="shared" si="2"/>
        <v>0</v>
      </c>
    </row>
    <row r="199" spans="1:6" x14ac:dyDescent="0.3">
      <c r="A199" s="6" t="s">
        <v>11</v>
      </c>
      <c r="B199" s="6" t="s">
        <v>12</v>
      </c>
      <c r="C199" s="7">
        <v>46051</v>
      </c>
      <c r="D199" s="11">
        <v>160700</v>
      </c>
      <c r="E199" s="12">
        <f>MAX($D$9:D199)</f>
        <v>162400</v>
      </c>
      <c r="F199" s="8" t="b">
        <f t="shared" si="2"/>
        <v>0</v>
      </c>
    </row>
    <row r="200" spans="1:6" x14ac:dyDescent="0.3">
      <c r="A200" s="6" t="s">
        <v>11</v>
      </c>
      <c r="B200" s="6" t="s">
        <v>12</v>
      </c>
      <c r="C200" s="7">
        <v>46052</v>
      </c>
      <c r="D200" s="11">
        <v>160500</v>
      </c>
      <c r="E200" s="12">
        <f>MAX($D$9:D200)</f>
        <v>162400</v>
      </c>
      <c r="F200" s="8" t="b">
        <f t="shared" si="2"/>
        <v>0</v>
      </c>
    </row>
    <row r="201" spans="1:6" x14ac:dyDescent="0.3">
      <c r="A201" s="6" t="s">
        <v>11</v>
      </c>
      <c r="B201" s="6" t="s">
        <v>12</v>
      </c>
      <c r="C201" s="7">
        <v>46055</v>
      </c>
      <c r="D201" s="11">
        <v>150400</v>
      </c>
      <c r="E201" s="12">
        <f>MAX($D$9:D201)</f>
        <v>162400</v>
      </c>
      <c r="F201" s="8" t="b">
        <f t="shared" ref="F201:F260" si="3">D201=MAX($D$9:$D$260)</f>
        <v>0</v>
      </c>
    </row>
    <row r="202" spans="1:6" x14ac:dyDescent="0.3">
      <c r="A202" s="6" t="s">
        <v>11</v>
      </c>
      <c r="B202" s="6" t="s">
        <v>12</v>
      </c>
      <c r="C202" s="7">
        <v>46056</v>
      </c>
      <c r="D202" s="11">
        <v>167500</v>
      </c>
      <c r="E202" s="12">
        <f>MAX($D$9:D202)</f>
        <v>167500</v>
      </c>
      <c r="F202" s="8" t="b">
        <f t="shared" si="3"/>
        <v>0</v>
      </c>
    </row>
    <row r="203" spans="1:6" x14ac:dyDescent="0.3">
      <c r="A203" s="6" t="s">
        <v>11</v>
      </c>
      <c r="B203" s="6" t="s">
        <v>12</v>
      </c>
      <c r="C203" s="7">
        <v>46057</v>
      </c>
      <c r="D203" s="11">
        <v>169100</v>
      </c>
      <c r="E203" s="12">
        <f>MAX($D$9:D203)</f>
        <v>169100</v>
      </c>
      <c r="F203" s="8" t="b">
        <f t="shared" si="3"/>
        <v>0</v>
      </c>
    </row>
    <row r="204" spans="1:6" x14ac:dyDescent="0.3">
      <c r="A204" s="6" t="s">
        <v>11</v>
      </c>
      <c r="B204" s="6" t="s">
        <v>12</v>
      </c>
      <c r="C204" s="7">
        <v>46058</v>
      </c>
      <c r="D204" s="11">
        <v>159300</v>
      </c>
      <c r="E204" s="12">
        <f>MAX($D$9:D204)</f>
        <v>169100</v>
      </c>
      <c r="F204" s="8" t="b">
        <f t="shared" si="3"/>
        <v>0</v>
      </c>
    </row>
    <row r="205" spans="1:6" x14ac:dyDescent="0.3">
      <c r="A205" s="6" t="s">
        <v>11</v>
      </c>
      <c r="B205" s="6" t="s">
        <v>12</v>
      </c>
      <c r="C205" s="7">
        <v>46059</v>
      </c>
      <c r="D205" s="11">
        <v>158600</v>
      </c>
      <c r="E205" s="12">
        <f>MAX($D$9:D205)</f>
        <v>169100</v>
      </c>
      <c r="F205" s="8" t="b">
        <f t="shared" si="3"/>
        <v>0</v>
      </c>
    </row>
    <row r="206" spans="1:6" x14ac:dyDescent="0.3">
      <c r="A206" s="6" t="s">
        <v>11</v>
      </c>
      <c r="B206" s="6" t="s">
        <v>12</v>
      </c>
      <c r="C206" s="7">
        <v>46062</v>
      </c>
      <c r="D206" s="11">
        <v>166400</v>
      </c>
      <c r="E206" s="12">
        <f>MAX($D$9:D206)</f>
        <v>169100</v>
      </c>
      <c r="F206" s="8" t="b">
        <f t="shared" si="3"/>
        <v>0</v>
      </c>
    </row>
    <row r="207" spans="1:6" x14ac:dyDescent="0.3">
      <c r="A207" s="6" t="s">
        <v>11</v>
      </c>
      <c r="B207" s="6" t="s">
        <v>12</v>
      </c>
      <c r="C207" s="7">
        <v>46063</v>
      </c>
      <c r="D207" s="11">
        <v>165800</v>
      </c>
      <c r="E207" s="12">
        <f>MAX($D$9:D207)</f>
        <v>169100</v>
      </c>
      <c r="F207" s="8" t="b">
        <f t="shared" si="3"/>
        <v>0</v>
      </c>
    </row>
    <row r="208" spans="1:6" x14ac:dyDescent="0.3">
      <c r="A208" s="6" t="s">
        <v>11</v>
      </c>
      <c r="B208" s="6" t="s">
        <v>12</v>
      </c>
      <c r="C208" s="7">
        <v>46064</v>
      </c>
      <c r="D208" s="11">
        <v>167800</v>
      </c>
      <c r="E208" s="12">
        <f>MAX($D$9:D208)</f>
        <v>169100</v>
      </c>
      <c r="F208" s="8" t="b">
        <f t="shared" si="3"/>
        <v>0</v>
      </c>
    </row>
    <row r="209" spans="1:6" x14ac:dyDescent="0.3">
      <c r="A209" s="6" t="s">
        <v>11</v>
      </c>
      <c r="B209" s="6" t="s">
        <v>12</v>
      </c>
      <c r="C209" s="7">
        <v>46065</v>
      </c>
      <c r="D209" s="11">
        <v>178600</v>
      </c>
      <c r="E209" s="12">
        <f>MAX($D$9:D209)</f>
        <v>178600</v>
      </c>
      <c r="F209" s="8" t="b">
        <f t="shared" si="3"/>
        <v>0</v>
      </c>
    </row>
    <row r="210" spans="1:6" x14ac:dyDescent="0.3">
      <c r="A210" s="6" t="s">
        <v>11</v>
      </c>
      <c r="B210" s="6" t="s">
        <v>12</v>
      </c>
      <c r="C210" s="7">
        <v>46066</v>
      </c>
      <c r="D210" s="11">
        <v>181200</v>
      </c>
      <c r="E210" s="12">
        <f>MAX($D$9:D210)</f>
        <v>181200</v>
      </c>
      <c r="F210" s="8" t="b">
        <f t="shared" si="3"/>
        <v>0</v>
      </c>
    </row>
    <row r="211" spans="1:6" x14ac:dyDescent="0.3">
      <c r="A211" s="6" t="s">
        <v>11</v>
      </c>
      <c r="B211" s="6" t="s">
        <v>12</v>
      </c>
      <c r="C211" s="7">
        <v>46072</v>
      </c>
      <c r="D211" s="11">
        <v>190000</v>
      </c>
      <c r="E211" s="12">
        <f>MAX($D$9:D211)</f>
        <v>190000</v>
      </c>
      <c r="F211" s="8" t="b">
        <f t="shared" si="3"/>
        <v>0</v>
      </c>
    </row>
    <row r="212" spans="1:6" x14ac:dyDescent="0.3">
      <c r="A212" s="6" t="s">
        <v>11</v>
      </c>
      <c r="B212" s="6" t="s">
        <v>12</v>
      </c>
      <c r="C212" s="7">
        <v>46073</v>
      </c>
      <c r="D212" s="11">
        <v>190100</v>
      </c>
      <c r="E212" s="12">
        <f>MAX($D$9:D212)</f>
        <v>190100</v>
      </c>
      <c r="F212" s="8" t="b">
        <f t="shared" si="3"/>
        <v>0</v>
      </c>
    </row>
    <row r="213" spans="1:6" x14ac:dyDescent="0.3">
      <c r="A213" s="6" t="s">
        <v>11</v>
      </c>
      <c r="B213" s="6" t="s">
        <v>12</v>
      </c>
      <c r="C213" s="7">
        <v>46076</v>
      </c>
      <c r="D213" s="11">
        <v>193000</v>
      </c>
      <c r="E213" s="12">
        <f>MAX($D$9:D213)</f>
        <v>193000</v>
      </c>
      <c r="F213" s="8" t="b">
        <f t="shared" si="3"/>
        <v>0</v>
      </c>
    </row>
    <row r="214" spans="1:6" x14ac:dyDescent="0.3">
      <c r="A214" s="6" t="s">
        <v>11</v>
      </c>
      <c r="B214" s="6" t="s">
        <v>12</v>
      </c>
      <c r="C214" s="7">
        <v>46077</v>
      </c>
      <c r="D214" s="11">
        <v>200000</v>
      </c>
      <c r="E214" s="12">
        <f>MAX($D$9:D214)</f>
        <v>200000</v>
      </c>
      <c r="F214" s="8" t="b">
        <f t="shared" si="3"/>
        <v>0</v>
      </c>
    </row>
    <row r="215" spans="1:6" x14ac:dyDescent="0.3">
      <c r="A215" s="6" t="s">
        <v>11</v>
      </c>
      <c r="B215" s="6" t="s">
        <v>12</v>
      </c>
      <c r="C215" s="7">
        <v>46078</v>
      </c>
      <c r="D215" s="11">
        <v>203500</v>
      </c>
      <c r="E215" s="12">
        <f>MAX($D$9:D215)</f>
        <v>203500</v>
      </c>
      <c r="F215" s="8" t="b">
        <f t="shared" si="3"/>
        <v>0</v>
      </c>
    </row>
    <row r="216" spans="1:6" x14ac:dyDescent="0.3">
      <c r="A216" s="6" t="s">
        <v>11</v>
      </c>
      <c r="B216" s="6" t="s">
        <v>12</v>
      </c>
      <c r="C216" s="7">
        <v>46079</v>
      </c>
      <c r="D216" s="11">
        <v>218000</v>
      </c>
      <c r="E216" s="12">
        <f>MAX($D$9:D216)</f>
        <v>218000</v>
      </c>
      <c r="F216" s="8" t="b">
        <f t="shared" si="3"/>
        <v>0</v>
      </c>
    </row>
    <row r="217" spans="1:6" x14ac:dyDescent="0.3">
      <c r="A217" s="6" t="s">
        <v>11</v>
      </c>
      <c r="B217" s="6" t="s">
        <v>12</v>
      </c>
      <c r="C217" s="7">
        <v>46080</v>
      </c>
      <c r="D217" s="11">
        <v>216500</v>
      </c>
      <c r="E217" s="12">
        <f>MAX($D$9:D217)</f>
        <v>218000</v>
      </c>
      <c r="F217" s="8" t="b">
        <f t="shared" si="3"/>
        <v>0</v>
      </c>
    </row>
    <row r="218" spans="1:6" x14ac:dyDescent="0.3">
      <c r="A218" s="6" t="s">
        <v>11</v>
      </c>
      <c r="B218" s="6" t="s">
        <v>12</v>
      </c>
      <c r="C218" s="7">
        <v>46084</v>
      </c>
      <c r="D218" s="11">
        <v>195100</v>
      </c>
      <c r="E218" s="12">
        <f>MAX($D$9:D218)</f>
        <v>218000</v>
      </c>
      <c r="F218" s="8" t="b">
        <f t="shared" si="3"/>
        <v>0</v>
      </c>
    </row>
    <row r="219" spans="1:6" x14ac:dyDescent="0.3">
      <c r="A219" s="6" t="s">
        <v>11</v>
      </c>
      <c r="B219" s="6" t="s">
        <v>12</v>
      </c>
      <c r="C219" s="7">
        <v>46085</v>
      </c>
      <c r="D219" s="11">
        <v>172200</v>
      </c>
      <c r="E219" s="12">
        <f>MAX($D$9:D219)</f>
        <v>218000</v>
      </c>
      <c r="F219" s="8" t="b">
        <f t="shared" si="3"/>
        <v>0</v>
      </c>
    </row>
    <row r="220" spans="1:6" x14ac:dyDescent="0.3">
      <c r="A220" s="6" t="s">
        <v>11</v>
      </c>
      <c r="B220" s="6" t="s">
        <v>12</v>
      </c>
      <c r="C220" s="7">
        <v>46086</v>
      </c>
      <c r="D220" s="11">
        <v>191600</v>
      </c>
      <c r="E220" s="12">
        <f>MAX($D$9:D220)</f>
        <v>218000</v>
      </c>
      <c r="F220" s="8" t="b">
        <f t="shared" si="3"/>
        <v>0</v>
      </c>
    </row>
    <row r="221" spans="1:6" x14ac:dyDescent="0.3">
      <c r="A221" s="6" t="s">
        <v>11</v>
      </c>
      <c r="B221" s="6" t="s">
        <v>12</v>
      </c>
      <c r="C221" s="7">
        <v>46087</v>
      </c>
      <c r="D221" s="11">
        <v>188200</v>
      </c>
      <c r="E221" s="12">
        <f>MAX($D$9:D221)</f>
        <v>218000</v>
      </c>
      <c r="F221" s="8" t="b">
        <f t="shared" si="3"/>
        <v>0</v>
      </c>
    </row>
    <row r="222" spans="1:6" x14ac:dyDescent="0.3">
      <c r="A222" s="6" t="s">
        <v>11</v>
      </c>
      <c r="B222" s="6" t="s">
        <v>12</v>
      </c>
      <c r="C222" s="7">
        <v>46090</v>
      </c>
      <c r="D222" s="11">
        <v>173500</v>
      </c>
      <c r="E222" s="12">
        <f>MAX($D$9:D222)</f>
        <v>218000</v>
      </c>
      <c r="F222" s="8" t="b">
        <f t="shared" si="3"/>
        <v>0</v>
      </c>
    </row>
    <row r="223" spans="1:6" x14ac:dyDescent="0.3">
      <c r="A223" s="6" t="s">
        <v>11</v>
      </c>
      <c r="B223" s="6" t="s">
        <v>12</v>
      </c>
      <c r="C223" s="7">
        <v>46091</v>
      </c>
      <c r="D223" s="11">
        <v>187900</v>
      </c>
      <c r="E223" s="12">
        <f>MAX($D$9:D223)</f>
        <v>218000</v>
      </c>
      <c r="F223" s="8" t="b">
        <f t="shared" si="3"/>
        <v>0</v>
      </c>
    </row>
    <row r="224" spans="1:6" x14ac:dyDescent="0.3">
      <c r="A224" s="6" t="s">
        <v>11</v>
      </c>
      <c r="B224" s="6" t="s">
        <v>12</v>
      </c>
      <c r="C224" s="7">
        <v>46092</v>
      </c>
      <c r="D224" s="11">
        <v>190000</v>
      </c>
      <c r="E224" s="12">
        <f>MAX($D$9:D224)</f>
        <v>218000</v>
      </c>
      <c r="F224" s="8" t="b">
        <f t="shared" si="3"/>
        <v>0</v>
      </c>
    </row>
    <row r="225" spans="1:6" x14ac:dyDescent="0.3">
      <c r="A225" s="6" t="s">
        <v>11</v>
      </c>
      <c r="B225" s="6" t="s">
        <v>12</v>
      </c>
      <c r="C225" s="7">
        <v>46093</v>
      </c>
      <c r="D225" s="11">
        <v>187900</v>
      </c>
      <c r="E225" s="12">
        <f>MAX($D$9:D225)</f>
        <v>218000</v>
      </c>
      <c r="F225" s="8" t="b">
        <f t="shared" si="3"/>
        <v>0</v>
      </c>
    </row>
    <row r="226" spans="1:6" x14ac:dyDescent="0.3">
      <c r="A226" s="6" t="s">
        <v>11</v>
      </c>
      <c r="B226" s="6" t="s">
        <v>12</v>
      </c>
      <c r="C226" s="7">
        <v>46094</v>
      </c>
      <c r="D226" s="11">
        <v>183500</v>
      </c>
      <c r="E226" s="12">
        <f>MAX($D$9:D226)</f>
        <v>218000</v>
      </c>
      <c r="F226" s="8" t="b">
        <f t="shared" si="3"/>
        <v>0</v>
      </c>
    </row>
    <row r="227" spans="1:6" x14ac:dyDescent="0.3">
      <c r="A227" s="6" t="s">
        <v>11</v>
      </c>
      <c r="B227" s="6" t="s">
        <v>12</v>
      </c>
      <c r="C227" s="7">
        <v>46097</v>
      </c>
      <c r="D227" s="11">
        <v>188700</v>
      </c>
      <c r="E227" s="12">
        <f>MAX($D$9:D227)</f>
        <v>218000</v>
      </c>
      <c r="F227" s="8" t="b">
        <f t="shared" si="3"/>
        <v>0</v>
      </c>
    </row>
    <row r="228" spans="1:6" x14ac:dyDescent="0.3">
      <c r="A228" s="6" t="s">
        <v>11</v>
      </c>
      <c r="B228" s="6" t="s">
        <v>12</v>
      </c>
      <c r="C228" s="7">
        <v>46098</v>
      </c>
      <c r="D228" s="11">
        <v>193900</v>
      </c>
      <c r="E228" s="12">
        <f>MAX($D$9:D228)</f>
        <v>218000</v>
      </c>
      <c r="F228" s="8" t="b">
        <f t="shared" si="3"/>
        <v>0</v>
      </c>
    </row>
    <row r="229" spans="1:6" x14ac:dyDescent="0.3">
      <c r="A229" s="6" t="s">
        <v>11</v>
      </c>
      <c r="B229" s="6" t="s">
        <v>12</v>
      </c>
      <c r="C229" s="7">
        <v>46099</v>
      </c>
      <c r="D229" s="11">
        <v>208500</v>
      </c>
      <c r="E229" s="12">
        <f>MAX($D$9:D229)</f>
        <v>218000</v>
      </c>
      <c r="F229" s="8" t="b">
        <f t="shared" si="3"/>
        <v>0</v>
      </c>
    </row>
    <row r="230" spans="1:6" x14ac:dyDescent="0.3">
      <c r="A230" s="6" t="s">
        <v>11</v>
      </c>
      <c r="B230" s="6" t="s">
        <v>12</v>
      </c>
      <c r="C230" s="7">
        <v>46100</v>
      </c>
      <c r="D230" s="11">
        <v>200500</v>
      </c>
      <c r="E230" s="12">
        <f>MAX($D$9:D230)</f>
        <v>218000</v>
      </c>
      <c r="F230" s="8" t="b">
        <f t="shared" si="3"/>
        <v>0</v>
      </c>
    </row>
    <row r="231" spans="1:6" x14ac:dyDescent="0.3">
      <c r="A231" s="6" t="s">
        <v>11</v>
      </c>
      <c r="B231" s="6" t="s">
        <v>12</v>
      </c>
      <c r="C231" s="7">
        <v>46101</v>
      </c>
      <c r="D231" s="11">
        <v>199400</v>
      </c>
      <c r="E231" s="12">
        <f>MAX($D$9:D231)</f>
        <v>218000</v>
      </c>
      <c r="F231" s="8" t="b">
        <f t="shared" si="3"/>
        <v>0</v>
      </c>
    </row>
    <row r="232" spans="1:6" x14ac:dyDescent="0.3">
      <c r="A232" s="6" t="s">
        <v>11</v>
      </c>
      <c r="B232" s="6" t="s">
        <v>12</v>
      </c>
      <c r="C232" s="7">
        <v>46104</v>
      </c>
      <c r="D232" s="11">
        <v>186300</v>
      </c>
      <c r="E232" s="12">
        <f>MAX($D$9:D232)</f>
        <v>218000</v>
      </c>
      <c r="F232" s="8" t="b">
        <f t="shared" si="3"/>
        <v>0</v>
      </c>
    </row>
    <row r="233" spans="1:6" x14ac:dyDescent="0.3">
      <c r="A233" s="6" t="s">
        <v>11</v>
      </c>
      <c r="B233" s="6" t="s">
        <v>12</v>
      </c>
      <c r="C233" s="7">
        <v>46105</v>
      </c>
      <c r="D233" s="11">
        <v>189700</v>
      </c>
      <c r="E233" s="12">
        <f>MAX($D$9:D233)</f>
        <v>218000</v>
      </c>
      <c r="F233" s="8" t="b">
        <f t="shared" si="3"/>
        <v>0</v>
      </c>
    </row>
    <row r="234" spans="1:6" x14ac:dyDescent="0.3">
      <c r="A234" s="6" t="s">
        <v>11</v>
      </c>
      <c r="B234" s="6" t="s">
        <v>12</v>
      </c>
      <c r="C234" s="7">
        <v>46106</v>
      </c>
      <c r="D234" s="11">
        <v>189000</v>
      </c>
      <c r="E234" s="12">
        <f>MAX($D$9:D234)</f>
        <v>218000</v>
      </c>
      <c r="F234" s="8" t="b">
        <f t="shared" si="3"/>
        <v>0</v>
      </c>
    </row>
    <row r="235" spans="1:6" x14ac:dyDescent="0.3">
      <c r="A235" s="6" t="s">
        <v>11</v>
      </c>
      <c r="B235" s="6" t="s">
        <v>12</v>
      </c>
      <c r="C235" s="7">
        <v>46107</v>
      </c>
      <c r="D235" s="11">
        <v>180100</v>
      </c>
      <c r="E235" s="12">
        <f>MAX($D$9:D235)</f>
        <v>218000</v>
      </c>
      <c r="F235" s="8" t="b">
        <f t="shared" si="3"/>
        <v>0</v>
      </c>
    </row>
    <row r="236" spans="1:6" x14ac:dyDescent="0.3">
      <c r="A236" s="6" t="s">
        <v>11</v>
      </c>
      <c r="B236" s="6" t="s">
        <v>12</v>
      </c>
      <c r="C236" s="7">
        <v>46108</v>
      </c>
      <c r="D236" s="11">
        <v>179700</v>
      </c>
      <c r="E236" s="12">
        <f>MAX($D$9:D236)</f>
        <v>218000</v>
      </c>
      <c r="F236" s="8" t="b">
        <f t="shared" si="3"/>
        <v>0</v>
      </c>
    </row>
    <row r="237" spans="1:6" x14ac:dyDescent="0.3">
      <c r="A237" s="6" t="s">
        <v>11</v>
      </c>
      <c r="B237" s="6" t="s">
        <v>12</v>
      </c>
      <c r="C237" s="7">
        <v>46111</v>
      </c>
      <c r="D237" s="11">
        <v>176300</v>
      </c>
      <c r="E237" s="12">
        <f>MAX($D$9:D237)</f>
        <v>218000</v>
      </c>
      <c r="F237" s="8" t="b">
        <f t="shared" si="3"/>
        <v>0</v>
      </c>
    </row>
    <row r="238" spans="1:6" x14ac:dyDescent="0.3">
      <c r="A238" s="6" t="s">
        <v>11</v>
      </c>
      <c r="B238" s="6" t="s">
        <v>12</v>
      </c>
      <c r="C238" s="7">
        <v>46112</v>
      </c>
      <c r="D238" s="11">
        <v>167200</v>
      </c>
      <c r="E238" s="12">
        <f>MAX($D$9:D238)</f>
        <v>218000</v>
      </c>
      <c r="F238" s="8" t="b">
        <f t="shared" si="3"/>
        <v>0</v>
      </c>
    </row>
    <row r="239" spans="1:6" x14ac:dyDescent="0.3">
      <c r="A239" s="6" t="s">
        <v>11</v>
      </c>
      <c r="B239" s="6" t="s">
        <v>12</v>
      </c>
      <c r="C239" s="7">
        <v>46113</v>
      </c>
      <c r="D239" s="11">
        <v>189600</v>
      </c>
      <c r="E239" s="12">
        <f>MAX($D$9:D239)</f>
        <v>218000</v>
      </c>
      <c r="F239" s="8" t="b">
        <f t="shared" si="3"/>
        <v>0</v>
      </c>
    </row>
    <row r="240" spans="1:6" x14ac:dyDescent="0.3">
      <c r="A240" s="6" t="s">
        <v>11</v>
      </c>
      <c r="B240" s="6" t="s">
        <v>12</v>
      </c>
      <c r="C240" s="7">
        <v>46114</v>
      </c>
      <c r="D240" s="11">
        <v>178400</v>
      </c>
      <c r="E240" s="12">
        <f>MAX($D$9:D240)</f>
        <v>218000</v>
      </c>
      <c r="F240" s="8" t="b">
        <f t="shared" si="3"/>
        <v>0</v>
      </c>
    </row>
    <row r="241" spans="1:6" x14ac:dyDescent="0.3">
      <c r="A241" s="6" t="s">
        <v>11</v>
      </c>
      <c r="B241" s="6" t="s">
        <v>12</v>
      </c>
      <c r="C241" s="7">
        <v>46115</v>
      </c>
      <c r="D241" s="11">
        <v>186200</v>
      </c>
      <c r="E241" s="12">
        <f>MAX($D$9:D241)</f>
        <v>218000</v>
      </c>
      <c r="F241" s="8" t="b">
        <f t="shared" si="3"/>
        <v>0</v>
      </c>
    </row>
    <row r="242" spans="1:6" x14ac:dyDescent="0.3">
      <c r="A242" s="6" t="s">
        <v>11</v>
      </c>
      <c r="B242" s="6" t="s">
        <v>12</v>
      </c>
      <c r="C242" s="7">
        <v>46118</v>
      </c>
      <c r="D242" s="11">
        <v>193100</v>
      </c>
      <c r="E242" s="12">
        <f>MAX($D$9:D242)</f>
        <v>218000</v>
      </c>
      <c r="F242" s="8" t="b">
        <f t="shared" si="3"/>
        <v>0</v>
      </c>
    </row>
    <row r="243" spans="1:6" x14ac:dyDescent="0.3">
      <c r="A243" s="6" t="s">
        <v>11</v>
      </c>
      <c r="B243" s="6" t="s">
        <v>12</v>
      </c>
      <c r="C243" s="7">
        <v>46119</v>
      </c>
      <c r="D243" s="11">
        <v>196500</v>
      </c>
      <c r="E243" s="12">
        <f>MAX($D$9:D243)</f>
        <v>218000</v>
      </c>
      <c r="F243" s="8" t="b">
        <f t="shared" si="3"/>
        <v>0</v>
      </c>
    </row>
    <row r="244" spans="1:6" x14ac:dyDescent="0.3">
      <c r="A244" s="6" t="s">
        <v>11</v>
      </c>
      <c r="B244" s="6" t="s">
        <v>12</v>
      </c>
      <c r="C244" s="7">
        <v>46120</v>
      </c>
      <c r="D244" s="11">
        <v>210500</v>
      </c>
      <c r="E244" s="12">
        <f>MAX($D$9:D244)</f>
        <v>218000</v>
      </c>
      <c r="F244" s="8" t="b">
        <f t="shared" si="3"/>
        <v>0</v>
      </c>
    </row>
    <row r="245" spans="1:6" x14ac:dyDescent="0.3">
      <c r="A245" s="6" t="s">
        <v>11</v>
      </c>
      <c r="B245" s="6" t="s">
        <v>12</v>
      </c>
      <c r="C245" s="7">
        <v>46121</v>
      </c>
      <c r="D245" s="11">
        <v>204000</v>
      </c>
      <c r="E245" s="12">
        <f>MAX($D$9:D245)</f>
        <v>218000</v>
      </c>
      <c r="F245" s="8" t="b">
        <f t="shared" si="3"/>
        <v>0</v>
      </c>
    </row>
    <row r="246" spans="1:6" x14ac:dyDescent="0.3">
      <c r="A246" s="6" t="s">
        <v>11</v>
      </c>
      <c r="B246" s="6" t="s">
        <v>12</v>
      </c>
      <c r="C246" s="7">
        <v>46122</v>
      </c>
      <c r="D246" s="11">
        <v>206000</v>
      </c>
      <c r="E246" s="12">
        <f>MAX($D$9:D246)</f>
        <v>218000</v>
      </c>
      <c r="F246" s="8" t="b">
        <f t="shared" si="3"/>
        <v>0</v>
      </c>
    </row>
    <row r="247" spans="1:6" x14ac:dyDescent="0.3">
      <c r="A247" s="6" t="s">
        <v>11</v>
      </c>
      <c r="B247" s="6" t="s">
        <v>12</v>
      </c>
      <c r="C247" s="7">
        <v>46125</v>
      </c>
      <c r="D247" s="11">
        <v>201000</v>
      </c>
      <c r="E247" s="12">
        <f>MAX($D$9:D247)</f>
        <v>218000</v>
      </c>
      <c r="F247" s="8" t="b">
        <f t="shared" si="3"/>
        <v>0</v>
      </c>
    </row>
    <row r="248" spans="1:6" x14ac:dyDescent="0.3">
      <c r="A248" s="6" t="s">
        <v>11</v>
      </c>
      <c r="B248" s="6" t="s">
        <v>12</v>
      </c>
      <c r="C248" s="7">
        <v>46126</v>
      </c>
      <c r="D248" s="11">
        <v>206500</v>
      </c>
      <c r="E248" s="12">
        <f>MAX($D$9:D248)</f>
        <v>218000</v>
      </c>
      <c r="F248" s="8" t="b">
        <f t="shared" si="3"/>
        <v>0</v>
      </c>
    </row>
    <row r="249" spans="1:6" x14ac:dyDescent="0.3">
      <c r="A249" s="6" t="s">
        <v>11</v>
      </c>
      <c r="B249" s="6" t="s">
        <v>12</v>
      </c>
      <c r="C249" s="7">
        <v>46127</v>
      </c>
      <c r="D249" s="11">
        <v>211000</v>
      </c>
      <c r="E249" s="12">
        <f>MAX($D$9:D249)</f>
        <v>218000</v>
      </c>
      <c r="F249" s="8" t="b">
        <f t="shared" si="3"/>
        <v>0</v>
      </c>
    </row>
    <row r="250" spans="1:6" x14ac:dyDescent="0.3">
      <c r="A250" s="6" t="s">
        <v>11</v>
      </c>
      <c r="B250" s="6" t="s">
        <v>12</v>
      </c>
      <c r="C250" s="7">
        <v>46128</v>
      </c>
      <c r="D250" s="11">
        <v>217500</v>
      </c>
      <c r="E250" s="12">
        <f>MAX($D$9:D250)</f>
        <v>218000</v>
      </c>
      <c r="F250" s="8" t="b">
        <f t="shared" si="3"/>
        <v>0</v>
      </c>
    </row>
    <row r="251" spans="1:6" x14ac:dyDescent="0.3">
      <c r="A251" s="6" t="s">
        <v>11</v>
      </c>
      <c r="B251" s="6" t="s">
        <v>12</v>
      </c>
      <c r="C251" s="7">
        <v>46129</v>
      </c>
      <c r="D251" s="11">
        <v>216000</v>
      </c>
      <c r="E251" s="12">
        <f>MAX($D$9:D251)</f>
        <v>218000</v>
      </c>
      <c r="F251" s="8" t="b">
        <f t="shared" si="3"/>
        <v>0</v>
      </c>
    </row>
    <row r="252" spans="1:6" x14ac:dyDescent="0.3">
      <c r="A252" s="6" t="s">
        <v>11</v>
      </c>
      <c r="B252" s="6" t="s">
        <v>12</v>
      </c>
      <c r="C252" s="7">
        <v>46132</v>
      </c>
      <c r="D252" s="11">
        <v>214500</v>
      </c>
      <c r="E252" s="12">
        <f>MAX($D$9:D252)</f>
        <v>218000</v>
      </c>
      <c r="F252" s="8" t="b">
        <f t="shared" si="3"/>
        <v>0</v>
      </c>
    </row>
    <row r="253" spans="1:6" x14ac:dyDescent="0.3">
      <c r="A253" s="6" t="s">
        <v>11</v>
      </c>
      <c r="B253" s="6" t="s">
        <v>12</v>
      </c>
      <c r="C253" s="7">
        <v>46133</v>
      </c>
      <c r="D253" s="11">
        <v>219000</v>
      </c>
      <c r="E253" s="12">
        <f>MAX($D$9:D253)</f>
        <v>219000</v>
      </c>
      <c r="F253" s="8" t="b">
        <f t="shared" si="3"/>
        <v>0</v>
      </c>
    </row>
    <row r="254" spans="1:6" x14ac:dyDescent="0.3">
      <c r="A254" s="6" t="s">
        <v>11</v>
      </c>
      <c r="B254" s="6" t="s">
        <v>12</v>
      </c>
      <c r="C254" s="7">
        <v>46134</v>
      </c>
      <c r="D254" s="11">
        <v>217500</v>
      </c>
      <c r="E254" s="12">
        <f>MAX($D$9:D254)</f>
        <v>219000</v>
      </c>
      <c r="F254" s="8" t="b">
        <f t="shared" si="3"/>
        <v>0</v>
      </c>
    </row>
    <row r="255" spans="1:6" x14ac:dyDescent="0.3">
      <c r="A255" s="6" t="s">
        <v>11</v>
      </c>
      <c r="B255" s="6" t="s">
        <v>12</v>
      </c>
      <c r="C255" s="7">
        <v>46135</v>
      </c>
      <c r="D255" s="11">
        <v>224500</v>
      </c>
      <c r="E255" s="12">
        <f>MAX($D$9:D255)</f>
        <v>224500</v>
      </c>
      <c r="F255" s="8" t="b">
        <f t="shared" si="3"/>
        <v>0</v>
      </c>
    </row>
    <row r="256" spans="1:6" x14ac:dyDescent="0.3">
      <c r="A256" s="6" t="s">
        <v>11</v>
      </c>
      <c r="B256" s="6" t="s">
        <v>12</v>
      </c>
      <c r="C256" s="7">
        <v>46136</v>
      </c>
      <c r="D256" s="11">
        <v>219500</v>
      </c>
      <c r="E256" s="12">
        <f>MAX($D$9:D256)</f>
        <v>224500</v>
      </c>
      <c r="F256" s="8" t="b">
        <f t="shared" si="3"/>
        <v>0</v>
      </c>
    </row>
    <row r="257" spans="1:7" x14ac:dyDescent="0.3">
      <c r="A257" s="6" t="s">
        <v>11</v>
      </c>
      <c r="B257" s="6" t="s">
        <v>12</v>
      </c>
      <c r="C257" s="7">
        <v>46139</v>
      </c>
      <c r="D257" s="11">
        <v>224500</v>
      </c>
      <c r="E257" s="12">
        <f>MAX($D$9:D257)</f>
        <v>224500</v>
      </c>
      <c r="F257" s="8" t="b">
        <f t="shared" si="3"/>
        <v>0</v>
      </c>
    </row>
    <row r="258" spans="1:7" x14ac:dyDescent="0.3">
      <c r="A258" s="6" t="s">
        <v>11</v>
      </c>
      <c r="B258" s="6" t="s">
        <v>12</v>
      </c>
      <c r="C258" s="7">
        <v>46140</v>
      </c>
      <c r="D258" s="11">
        <v>222000</v>
      </c>
      <c r="E258" s="12">
        <f>MAX($D$9:D258)</f>
        <v>224500</v>
      </c>
      <c r="F258" s="8" t="b">
        <f t="shared" si="3"/>
        <v>0</v>
      </c>
    </row>
    <row r="259" spans="1:7" s="16" customFormat="1" x14ac:dyDescent="0.3">
      <c r="A259" s="13" t="s">
        <v>11</v>
      </c>
      <c r="B259" s="13" t="s">
        <v>12</v>
      </c>
      <c r="C259" s="14">
        <v>46141</v>
      </c>
      <c r="D259" s="15">
        <v>226000</v>
      </c>
      <c r="E259" s="15">
        <f>MAX($D$9:D259)</f>
        <v>226000</v>
      </c>
      <c r="F259" s="13" t="b">
        <f t="shared" si="3"/>
        <v>1</v>
      </c>
    </row>
    <row r="260" spans="1:7" s="16" customFormat="1" x14ac:dyDescent="0.3">
      <c r="A260" s="13" t="s">
        <v>11</v>
      </c>
      <c r="B260" s="13" t="s">
        <v>12</v>
      </c>
      <c r="C260" s="14">
        <v>46142</v>
      </c>
      <c r="D260" s="15">
        <v>220500</v>
      </c>
      <c r="E260" s="15">
        <f>MAX($D$9:D260)</f>
        <v>226000</v>
      </c>
      <c r="F260" s="13" t="b">
        <f t="shared" si="3"/>
        <v>0</v>
      </c>
      <c r="G260" s="16" t="s">
        <v>254</v>
      </c>
    </row>
    <row r="261" spans="1:7" x14ac:dyDescent="0.3">
      <c r="A261" s="6" t="s">
        <v>14</v>
      </c>
      <c r="B261" s="6" t="s">
        <v>15</v>
      </c>
      <c r="C261" s="7">
        <v>45765</v>
      </c>
      <c r="D261" s="11">
        <v>175000</v>
      </c>
      <c r="E261" s="12">
        <f>MAX($D$261:D261)</f>
        <v>175000</v>
      </c>
      <c r="F261" s="8" t="b">
        <f t="shared" ref="F261:F324" si="4">D261=MAX($D$261:$D$512)</f>
        <v>0</v>
      </c>
    </row>
    <row r="262" spans="1:7" x14ac:dyDescent="0.3">
      <c r="A262" s="6" t="s">
        <v>14</v>
      </c>
      <c r="B262" s="6" t="s">
        <v>15</v>
      </c>
      <c r="C262" s="7">
        <v>45768</v>
      </c>
      <c r="D262" s="11">
        <v>176600</v>
      </c>
      <c r="E262" s="12">
        <f>MAX($D$261:D262)</f>
        <v>176600</v>
      </c>
      <c r="F262" s="8" t="b">
        <f t="shared" si="4"/>
        <v>0</v>
      </c>
    </row>
    <row r="263" spans="1:7" x14ac:dyDescent="0.3">
      <c r="A263" s="6" t="s">
        <v>14</v>
      </c>
      <c r="B263" s="6" t="s">
        <v>15</v>
      </c>
      <c r="C263" s="7">
        <v>45769</v>
      </c>
      <c r="D263" s="11">
        <v>173800</v>
      </c>
      <c r="E263" s="12">
        <f>MAX($D$261:D263)</f>
        <v>176600</v>
      </c>
      <c r="F263" s="8" t="b">
        <f t="shared" si="4"/>
        <v>0</v>
      </c>
    </row>
    <row r="264" spans="1:7" x14ac:dyDescent="0.3">
      <c r="A264" s="6" t="s">
        <v>14</v>
      </c>
      <c r="B264" s="6" t="s">
        <v>15</v>
      </c>
      <c r="C264" s="7">
        <v>45770</v>
      </c>
      <c r="D264" s="11">
        <v>181000</v>
      </c>
      <c r="E264" s="12">
        <f>MAX($D$261:D264)</f>
        <v>181000</v>
      </c>
      <c r="F264" s="8" t="b">
        <f t="shared" si="4"/>
        <v>0</v>
      </c>
    </row>
    <row r="265" spans="1:7" x14ac:dyDescent="0.3">
      <c r="A265" s="6" t="s">
        <v>14</v>
      </c>
      <c r="B265" s="6" t="s">
        <v>15</v>
      </c>
      <c r="C265" s="7">
        <v>45771</v>
      </c>
      <c r="D265" s="11">
        <v>178300</v>
      </c>
      <c r="E265" s="12">
        <f>MAX($D$261:D265)</f>
        <v>181000</v>
      </c>
      <c r="F265" s="8" t="b">
        <f t="shared" si="4"/>
        <v>0</v>
      </c>
    </row>
    <row r="266" spans="1:7" x14ac:dyDescent="0.3">
      <c r="A266" s="6" t="s">
        <v>14</v>
      </c>
      <c r="B266" s="6" t="s">
        <v>15</v>
      </c>
      <c r="C266" s="7">
        <v>45772</v>
      </c>
      <c r="D266" s="11">
        <v>184400</v>
      </c>
      <c r="E266" s="12">
        <f>MAX($D$261:D266)</f>
        <v>184400</v>
      </c>
      <c r="F266" s="8" t="b">
        <f t="shared" si="4"/>
        <v>0</v>
      </c>
    </row>
    <row r="267" spans="1:7" x14ac:dyDescent="0.3">
      <c r="A267" s="6" t="s">
        <v>14</v>
      </c>
      <c r="B267" s="6" t="s">
        <v>15</v>
      </c>
      <c r="C267" s="7">
        <v>45775</v>
      </c>
      <c r="D267" s="11">
        <v>182000</v>
      </c>
      <c r="E267" s="12">
        <f>MAX($D$261:D267)</f>
        <v>184400</v>
      </c>
      <c r="F267" s="8" t="b">
        <f t="shared" si="4"/>
        <v>0</v>
      </c>
    </row>
    <row r="268" spans="1:7" x14ac:dyDescent="0.3">
      <c r="A268" s="6" t="s">
        <v>14</v>
      </c>
      <c r="B268" s="6" t="s">
        <v>15</v>
      </c>
      <c r="C268" s="7">
        <v>45776</v>
      </c>
      <c r="D268" s="11">
        <v>180800</v>
      </c>
      <c r="E268" s="12">
        <f>MAX($D$261:D268)</f>
        <v>184400</v>
      </c>
      <c r="F268" s="8" t="b">
        <f t="shared" si="4"/>
        <v>0</v>
      </c>
    </row>
    <row r="269" spans="1:7" x14ac:dyDescent="0.3">
      <c r="A269" s="6" t="s">
        <v>14</v>
      </c>
      <c r="B269" s="6" t="s">
        <v>15</v>
      </c>
      <c r="C269" s="7">
        <v>45777</v>
      </c>
      <c r="D269" s="11">
        <v>177500</v>
      </c>
      <c r="E269" s="12">
        <f>MAX($D$261:D269)</f>
        <v>184400</v>
      </c>
      <c r="F269" s="8" t="b">
        <f t="shared" si="4"/>
        <v>0</v>
      </c>
    </row>
    <row r="270" spans="1:7" x14ac:dyDescent="0.3">
      <c r="A270" s="6" t="s">
        <v>14</v>
      </c>
      <c r="B270" s="6" t="s">
        <v>15</v>
      </c>
      <c r="C270" s="7">
        <v>45779</v>
      </c>
      <c r="D270" s="11">
        <v>186000</v>
      </c>
      <c r="E270" s="12">
        <f>MAX($D$261:D270)</f>
        <v>186000</v>
      </c>
      <c r="F270" s="8" t="b">
        <f t="shared" si="4"/>
        <v>0</v>
      </c>
    </row>
    <row r="271" spans="1:7" x14ac:dyDescent="0.3">
      <c r="A271" s="6" t="s">
        <v>14</v>
      </c>
      <c r="B271" s="6" t="s">
        <v>15</v>
      </c>
      <c r="C271" s="7">
        <v>45784</v>
      </c>
      <c r="D271" s="11">
        <v>190800</v>
      </c>
      <c r="E271" s="12">
        <f>MAX($D$261:D271)</f>
        <v>190800</v>
      </c>
      <c r="F271" s="8" t="b">
        <f t="shared" si="4"/>
        <v>0</v>
      </c>
    </row>
    <row r="272" spans="1:7" x14ac:dyDescent="0.3">
      <c r="A272" s="6" t="s">
        <v>14</v>
      </c>
      <c r="B272" s="6" t="s">
        <v>15</v>
      </c>
      <c r="C272" s="7">
        <v>45785</v>
      </c>
      <c r="D272" s="11">
        <v>190300</v>
      </c>
      <c r="E272" s="12">
        <f>MAX($D$261:D272)</f>
        <v>190800</v>
      </c>
      <c r="F272" s="8" t="b">
        <f t="shared" si="4"/>
        <v>0</v>
      </c>
    </row>
    <row r="273" spans="1:6" x14ac:dyDescent="0.3">
      <c r="A273" s="6" t="s">
        <v>14</v>
      </c>
      <c r="B273" s="6" t="s">
        <v>15</v>
      </c>
      <c r="C273" s="7">
        <v>45786</v>
      </c>
      <c r="D273" s="11">
        <v>190100</v>
      </c>
      <c r="E273" s="12">
        <f>MAX($D$261:D273)</f>
        <v>190800</v>
      </c>
      <c r="F273" s="8" t="b">
        <f t="shared" si="4"/>
        <v>0</v>
      </c>
    </row>
    <row r="274" spans="1:6" x14ac:dyDescent="0.3">
      <c r="A274" s="6" t="s">
        <v>14</v>
      </c>
      <c r="B274" s="6" t="s">
        <v>15</v>
      </c>
      <c r="C274" s="7">
        <v>45789</v>
      </c>
      <c r="D274" s="11">
        <v>195000</v>
      </c>
      <c r="E274" s="12">
        <f>MAX($D$261:D274)</f>
        <v>195000</v>
      </c>
      <c r="F274" s="8" t="b">
        <f t="shared" si="4"/>
        <v>0</v>
      </c>
    </row>
    <row r="275" spans="1:6" x14ac:dyDescent="0.3">
      <c r="A275" s="6" t="s">
        <v>14</v>
      </c>
      <c r="B275" s="6" t="s">
        <v>15</v>
      </c>
      <c r="C275" s="7">
        <v>45790</v>
      </c>
      <c r="D275" s="11">
        <v>198500</v>
      </c>
      <c r="E275" s="12">
        <f>MAX($D$261:D275)</f>
        <v>198500</v>
      </c>
      <c r="F275" s="8" t="b">
        <f t="shared" si="4"/>
        <v>0</v>
      </c>
    </row>
    <row r="276" spans="1:6" x14ac:dyDescent="0.3">
      <c r="A276" s="6" t="s">
        <v>14</v>
      </c>
      <c r="B276" s="6" t="s">
        <v>15</v>
      </c>
      <c r="C276" s="7">
        <v>45791</v>
      </c>
      <c r="D276" s="11">
        <v>206000</v>
      </c>
      <c r="E276" s="12">
        <f>MAX($D$261:D276)</f>
        <v>206000</v>
      </c>
      <c r="F276" s="8" t="b">
        <f t="shared" si="4"/>
        <v>0</v>
      </c>
    </row>
    <row r="277" spans="1:6" x14ac:dyDescent="0.3">
      <c r="A277" s="6" t="s">
        <v>14</v>
      </c>
      <c r="B277" s="6" t="s">
        <v>15</v>
      </c>
      <c r="C277" s="7">
        <v>45792</v>
      </c>
      <c r="D277" s="11">
        <v>200500</v>
      </c>
      <c r="E277" s="12">
        <f>MAX($D$261:D277)</f>
        <v>206000</v>
      </c>
      <c r="F277" s="8" t="b">
        <f t="shared" si="4"/>
        <v>0</v>
      </c>
    </row>
    <row r="278" spans="1:6" x14ac:dyDescent="0.3">
      <c r="A278" s="6" t="s">
        <v>14</v>
      </c>
      <c r="B278" s="6" t="s">
        <v>15</v>
      </c>
      <c r="C278" s="7">
        <v>45793</v>
      </c>
      <c r="D278" s="11">
        <v>204500</v>
      </c>
      <c r="E278" s="12">
        <f>MAX($D$261:D278)</f>
        <v>206000</v>
      </c>
      <c r="F278" s="8" t="b">
        <f t="shared" si="4"/>
        <v>0</v>
      </c>
    </row>
    <row r="279" spans="1:6" x14ac:dyDescent="0.3">
      <c r="A279" s="6" t="s">
        <v>14</v>
      </c>
      <c r="B279" s="6" t="s">
        <v>15</v>
      </c>
      <c r="C279" s="7">
        <v>45796</v>
      </c>
      <c r="D279" s="11">
        <v>199400</v>
      </c>
      <c r="E279" s="12">
        <f>MAX($D$261:D279)</f>
        <v>206000</v>
      </c>
      <c r="F279" s="8" t="b">
        <f t="shared" si="4"/>
        <v>0</v>
      </c>
    </row>
    <row r="280" spans="1:6" x14ac:dyDescent="0.3">
      <c r="A280" s="6" t="s">
        <v>14</v>
      </c>
      <c r="B280" s="6" t="s">
        <v>15</v>
      </c>
      <c r="C280" s="7">
        <v>45797</v>
      </c>
      <c r="D280" s="11">
        <v>202000</v>
      </c>
      <c r="E280" s="12">
        <f>MAX($D$261:D280)</f>
        <v>206000</v>
      </c>
      <c r="F280" s="8" t="b">
        <f t="shared" si="4"/>
        <v>0</v>
      </c>
    </row>
    <row r="281" spans="1:6" x14ac:dyDescent="0.3">
      <c r="A281" s="6" t="s">
        <v>14</v>
      </c>
      <c r="B281" s="6" t="s">
        <v>15</v>
      </c>
      <c r="C281" s="7">
        <v>45798</v>
      </c>
      <c r="D281" s="11">
        <v>200500</v>
      </c>
      <c r="E281" s="12">
        <f>MAX($D$261:D281)</f>
        <v>206000</v>
      </c>
      <c r="F281" s="8" t="b">
        <f t="shared" si="4"/>
        <v>0</v>
      </c>
    </row>
    <row r="282" spans="1:6" x14ac:dyDescent="0.3">
      <c r="A282" s="6" t="s">
        <v>14</v>
      </c>
      <c r="B282" s="6" t="s">
        <v>15</v>
      </c>
      <c r="C282" s="7">
        <v>45799</v>
      </c>
      <c r="D282" s="11">
        <v>196900</v>
      </c>
      <c r="E282" s="12">
        <f>MAX($D$261:D282)</f>
        <v>206000</v>
      </c>
      <c r="F282" s="8" t="b">
        <f t="shared" si="4"/>
        <v>0</v>
      </c>
    </row>
    <row r="283" spans="1:6" x14ac:dyDescent="0.3">
      <c r="A283" s="6" t="s">
        <v>14</v>
      </c>
      <c r="B283" s="6" t="s">
        <v>15</v>
      </c>
      <c r="C283" s="7">
        <v>45800</v>
      </c>
      <c r="D283" s="11">
        <v>200000</v>
      </c>
      <c r="E283" s="12">
        <f>MAX($D$261:D283)</f>
        <v>206000</v>
      </c>
      <c r="F283" s="8" t="b">
        <f t="shared" si="4"/>
        <v>0</v>
      </c>
    </row>
    <row r="284" spans="1:6" x14ac:dyDescent="0.3">
      <c r="A284" s="6" t="s">
        <v>14</v>
      </c>
      <c r="B284" s="6" t="s">
        <v>15</v>
      </c>
      <c r="C284" s="7">
        <v>45803</v>
      </c>
      <c r="D284" s="11">
        <v>203000</v>
      </c>
      <c r="E284" s="12">
        <f>MAX($D$261:D284)</f>
        <v>206000</v>
      </c>
      <c r="F284" s="8" t="b">
        <f t="shared" si="4"/>
        <v>0</v>
      </c>
    </row>
    <row r="285" spans="1:6" x14ac:dyDescent="0.3">
      <c r="A285" s="6" t="s">
        <v>14</v>
      </c>
      <c r="B285" s="6" t="s">
        <v>15</v>
      </c>
      <c r="C285" s="7">
        <v>45804</v>
      </c>
      <c r="D285" s="11">
        <v>202500</v>
      </c>
      <c r="E285" s="12">
        <f>MAX($D$261:D285)</f>
        <v>206000</v>
      </c>
      <c r="F285" s="8" t="b">
        <f t="shared" si="4"/>
        <v>0</v>
      </c>
    </row>
    <row r="286" spans="1:6" x14ac:dyDescent="0.3">
      <c r="A286" s="6" t="s">
        <v>14</v>
      </c>
      <c r="B286" s="6" t="s">
        <v>15</v>
      </c>
      <c r="C286" s="7">
        <v>45805</v>
      </c>
      <c r="D286" s="11">
        <v>208000</v>
      </c>
      <c r="E286" s="12">
        <f>MAX($D$261:D286)</f>
        <v>208000</v>
      </c>
      <c r="F286" s="8" t="b">
        <f t="shared" si="4"/>
        <v>0</v>
      </c>
    </row>
    <row r="287" spans="1:6" x14ac:dyDescent="0.3">
      <c r="A287" s="6" t="s">
        <v>14</v>
      </c>
      <c r="B287" s="6" t="s">
        <v>15</v>
      </c>
      <c r="C287" s="7">
        <v>45806</v>
      </c>
      <c r="D287" s="11">
        <v>212000</v>
      </c>
      <c r="E287" s="12">
        <f>MAX($D$261:D287)</f>
        <v>212000</v>
      </c>
      <c r="F287" s="8" t="b">
        <f t="shared" si="4"/>
        <v>0</v>
      </c>
    </row>
    <row r="288" spans="1:6" x14ac:dyDescent="0.3">
      <c r="A288" s="6" t="s">
        <v>14</v>
      </c>
      <c r="B288" s="6" t="s">
        <v>15</v>
      </c>
      <c r="C288" s="7">
        <v>45807</v>
      </c>
      <c r="D288" s="11">
        <v>204500</v>
      </c>
      <c r="E288" s="12">
        <f>MAX($D$261:D288)</f>
        <v>212000</v>
      </c>
      <c r="F288" s="8" t="b">
        <f t="shared" si="4"/>
        <v>0</v>
      </c>
    </row>
    <row r="289" spans="1:6" x14ac:dyDescent="0.3">
      <c r="A289" s="6" t="s">
        <v>14</v>
      </c>
      <c r="B289" s="6" t="s">
        <v>15</v>
      </c>
      <c r="C289" s="7">
        <v>45810</v>
      </c>
      <c r="D289" s="11">
        <v>207500</v>
      </c>
      <c r="E289" s="12">
        <f>MAX($D$261:D289)</f>
        <v>212000</v>
      </c>
      <c r="F289" s="8" t="b">
        <f t="shared" si="4"/>
        <v>0</v>
      </c>
    </row>
    <row r="290" spans="1:6" x14ac:dyDescent="0.3">
      <c r="A290" s="6" t="s">
        <v>14</v>
      </c>
      <c r="B290" s="6" t="s">
        <v>15</v>
      </c>
      <c r="C290" s="7">
        <v>45812</v>
      </c>
      <c r="D290" s="11">
        <v>217500</v>
      </c>
      <c r="E290" s="12">
        <f>MAX($D$261:D290)</f>
        <v>217500</v>
      </c>
      <c r="F290" s="8" t="b">
        <f t="shared" si="4"/>
        <v>0</v>
      </c>
    </row>
    <row r="291" spans="1:6" x14ac:dyDescent="0.3">
      <c r="A291" s="6" t="s">
        <v>14</v>
      </c>
      <c r="B291" s="6" t="s">
        <v>15</v>
      </c>
      <c r="C291" s="7">
        <v>45813</v>
      </c>
      <c r="D291" s="11">
        <v>224500</v>
      </c>
      <c r="E291" s="12">
        <f>MAX($D$261:D291)</f>
        <v>224500</v>
      </c>
      <c r="F291" s="8" t="b">
        <f t="shared" si="4"/>
        <v>0</v>
      </c>
    </row>
    <row r="292" spans="1:6" x14ac:dyDescent="0.3">
      <c r="A292" s="6" t="s">
        <v>14</v>
      </c>
      <c r="B292" s="6" t="s">
        <v>15</v>
      </c>
      <c r="C292" s="7">
        <v>45817</v>
      </c>
      <c r="D292" s="11">
        <v>229000</v>
      </c>
      <c r="E292" s="12">
        <f>MAX($D$261:D292)</f>
        <v>229000</v>
      </c>
      <c r="F292" s="8" t="b">
        <f t="shared" si="4"/>
        <v>0</v>
      </c>
    </row>
    <row r="293" spans="1:6" x14ac:dyDescent="0.3">
      <c r="A293" s="6" t="s">
        <v>14</v>
      </c>
      <c r="B293" s="6" t="s">
        <v>15</v>
      </c>
      <c r="C293" s="7">
        <v>45818</v>
      </c>
      <c r="D293" s="11">
        <v>230500</v>
      </c>
      <c r="E293" s="12">
        <f>MAX($D$261:D293)</f>
        <v>230500</v>
      </c>
      <c r="F293" s="8" t="b">
        <f t="shared" si="4"/>
        <v>0</v>
      </c>
    </row>
    <row r="294" spans="1:6" x14ac:dyDescent="0.3">
      <c r="A294" s="6" t="s">
        <v>14</v>
      </c>
      <c r="B294" s="6" t="s">
        <v>15</v>
      </c>
      <c r="C294" s="7">
        <v>45819</v>
      </c>
      <c r="D294" s="11">
        <v>240000</v>
      </c>
      <c r="E294" s="12">
        <f>MAX($D$261:D294)</f>
        <v>240000</v>
      </c>
      <c r="F294" s="8" t="b">
        <f t="shared" si="4"/>
        <v>0</v>
      </c>
    </row>
    <row r="295" spans="1:6" x14ac:dyDescent="0.3">
      <c r="A295" s="6" t="s">
        <v>14</v>
      </c>
      <c r="B295" s="6" t="s">
        <v>15</v>
      </c>
      <c r="C295" s="7">
        <v>45820</v>
      </c>
      <c r="D295" s="11">
        <v>235500</v>
      </c>
      <c r="E295" s="12">
        <f>MAX($D$261:D295)</f>
        <v>240000</v>
      </c>
      <c r="F295" s="8" t="b">
        <f t="shared" si="4"/>
        <v>0</v>
      </c>
    </row>
    <row r="296" spans="1:6" x14ac:dyDescent="0.3">
      <c r="A296" s="6" t="s">
        <v>14</v>
      </c>
      <c r="B296" s="6" t="s">
        <v>15</v>
      </c>
      <c r="C296" s="7">
        <v>45821</v>
      </c>
      <c r="D296" s="11">
        <v>235500</v>
      </c>
      <c r="E296" s="12">
        <f>MAX($D$261:D296)</f>
        <v>240000</v>
      </c>
      <c r="F296" s="8" t="b">
        <f t="shared" si="4"/>
        <v>0</v>
      </c>
    </row>
    <row r="297" spans="1:6" x14ac:dyDescent="0.3">
      <c r="A297" s="6" t="s">
        <v>14</v>
      </c>
      <c r="B297" s="6" t="s">
        <v>15</v>
      </c>
      <c r="C297" s="7">
        <v>45824</v>
      </c>
      <c r="D297" s="11">
        <v>248000</v>
      </c>
      <c r="E297" s="12">
        <f>MAX($D$261:D297)</f>
        <v>248000</v>
      </c>
      <c r="F297" s="8" t="b">
        <f t="shared" si="4"/>
        <v>0</v>
      </c>
    </row>
    <row r="298" spans="1:6" x14ac:dyDescent="0.3">
      <c r="A298" s="6" t="s">
        <v>14</v>
      </c>
      <c r="B298" s="6" t="s">
        <v>15</v>
      </c>
      <c r="C298" s="7">
        <v>45825</v>
      </c>
      <c r="D298" s="11">
        <v>249000</v>
      </c>
      <c r="E298" s="12">
        <f>MAX($D$261:D298)</f>
        <v>249000</v>
      </c>
      <c r="F298" s="8" t="b">
        <f t="shared" si="4"/>
        <v>0</v>
      </c>
    </row>
    <row r="299" spans="1:6" x14ac:dyDescent="0.3">
      <c r="A299" s="6" t="s">
        <v>14</v>
      </c>
      <c r="B299" s="6" t="s">
        <v>15</v>
      </c>
      <c r="C299" s="7">
        <v>45826</v>
      </c>
      <c r="D299" s="11">
        <v>246500</v>
      </c>
      <c r="E299" s="12">
        <f>MAX($D$261:D299)</f>
        <v>249000</v>
      </c>
      <c r="F299" s="8" t="b">
        <f t="shared" si="4"/>
        <v>0</v>
      </c>
    </row>
    <row r="300" spans="1:6" x14ac:dyDescent="0.3">
      <c r="A300" s="6" t="s">
        <v>14</v>
      </c>
      <c r="B300" s="6" t="s">
        <v>15</v>
      </c>
      <c r="C300" s="7">
        <v>45827</v>
      </c>
      <c r="D300" s="11">
        <v>246000</v>
      </c>
      <c r="E300" s="12">
        <f>MAX($D$261:D300)</f>
        <v>249000</v>
      </c>
      <c r="F300" s="8" t="b">
        <f t="shared" si="4"/>
        <v>0</v>
      </c>
    </row>
    <row r="301" spans="1:6" x14ac:dyDescent="0.3">
      <c r="A301" s="6" t="s">
        <v>14</v>
      </c>
      <c r="B301" s="6" t="s">
        <v>15</v>
      </c>
      <c r="C301" s="7">
        <v>45828</v>
      </c>
      <c r="D301" s="11">
        <v>257000</v>
      </c>
      <c r="E301" s="12">
        <f>MAX($D$261:D301)</f>
        <v>257000</v>
      </c>
      <c r="F301" s="8" t="b">
        <f t="shared" si="4"/>
        <v>0</v>
      </c>
    </row>
    <row r="302" spans="1:6" x14ac:dyDescent="0.3">
      <c r="A302" s="6" t="s">
        <v>14</v>
      </c>
      <c r="B302" s="6" t="s">
        <v>15</v>
      </c>
      <c r="C302" s="7">
        <v>45831</v>
      </c>
      <c r="D302" s="11">
        <v>259500</v>
      </c>
      <c r="E302" s="12">
        <f>MAX($D$261:D302)</f>
        <v>259500</v>
      </c>
      <c r="F302" s="8" t="b">
        <f t="shared" si="4"/>
        <v>0</v>
      </c>
    </row>
    <row r="303" spans="1:6" x14ac:dyDescent="0.3">
      <c r="A303" s="6" t="s">
        <v>14</v>
      </c>
      <c r="B303" s="6" t="s">
        <v>15</v>
      </c>
      <c r="C303" s="7">
        <v>45832</v>
      </c>
      <c r="D303" s="11">
        <v>278500</v>
      </c>
      <c r="E303" s="12">
        <f>MAX($D$261:D303)</f>
        <v>278500</v>
      </c>
      <c r="F303" s="8" t="b">
        <f t="shared" si="4"/>
        <v>0</v>
      </c>
    </row>
    <row r="304" spans="1:6" x14ac:dyDescent="0.3">
      <c r="A304" s="6" t="s">
        <v>14</v>
      </c>
      <c r="B304" s="6" t="s">
        <v>15</v>
      </c>
      <c r="C304" s="7">
        <v>45833</v>
      </c>
      <c r="D304" s="11">
        <v>286000</v>
      </c>
      <c r="E304" s="12">
        <f>MAX($D$261:D304)</f>
        <v>286000</v>
      </c>
      <c r="F304" s="8" t="b">
        <f t="shared" si="4"/>
        <v>0</v>
      </c>
    </row>
    <row r="305" spans="1:6" x14ac:dyDescent="0.3">
      <c r="A305" s="6" t="s">
        <v>14</v>
      </c>
      <c r="B305" s="6" t="s">
        <v>15</v>
      </c>
      <c r="C305" s="7">
        <v>45834</v>
      </c>
      <c r="D305" s="11">
        <v>293000</v>
      </c>
      <c r="E305" s="12">
        <f>MAX($D$261:D305)</f>
        <v>293000</v>
      </c>
      <c r="F305" s="8" t="b">
        <f t="shared" si="4"/>
        <v>0</v>
      </c>
    </row>
    <row r="306" spans="1:6" x14ac:dyDescent="0.3">
      <c r="A306" s="6" t="s">
        <v>14</v>
      </c>
      <c r="B306" s="6" t="s">
        <v>15</v>
      </c>
      <c r="C306" s="7">
        <v>45835</v>
      </c>
      <c r="D306" s="11">
        <v>284000</v>
      </c>
      <c r="E306" s="12">
        <f>MAX($D$261:D306)</f>
        <v>293000</v>
      </c>
      <c r="F306" s="8" t="b">
        <f t="shared" si="4"/>
        <v>0</v>
      </c>
    </row>
    <row r="307" spans="1:6" x14ac:dyDescent="0.3">
      <c r="A307" s="6" t="s">
        <v>14</v>
      </c>
      <c r="B307" s="6" t="s">
        <v>15</v>
      </c>
      <c r="C307" s="7">
        <v>45838</v>
      </c>
      <c r="D307" s="11">
        <v>292000</v>
      </c>
      <c r="E307" s="12">
        <f>MAX($D$261:D307)</f>
        <v>293000</v>
      </c>
      <c r="F307" s="8" t="b">
        <f t="shared" si="4"/>
        <v>0</v>
      </c>
    </row>
    <row r="308" spans="1:6" x14ac:dyDescent="0.3">
      <c r="A308" s="6" t="s">
        <v>14</v>
      </c>
      <c r="B308" s="6" t="s">
        <v>15</v>
      </c>
      <c r="C308" s="7">
        <v>45839</v>
      </c>
      <c r="D308" s="11">
        <v>285500</v>
      </c>
      <c r="E308" s="12">
        <f>MAX($D$261:D308)</f>
        <v>293000</v>
      </c>
      <c r="F308" s="8" t="b">
        <f t="shared" si="4"/>
        <v>0</v>
      </c>
    </row>
    <row r="309" spans="1:6" x14ac:dyDescent="0.3">
      <c r="A309" s="6" t="s">
        <v>14</v>
      </c>
      <c r="B309" s="6" t="s">
        <v>15</v>
      </c>
      <c r="C309" s="7">
        <v>45840</v>
      </c>
      <c r="D309" s="11">
        <v>279000</v>
      </c>
      <c r="E309" s="12">
        <f>MAX($D$261:D309)</f>
        <v>293000</v>
      </c>
      <c r="F309" s="8" t="b">
        <f t="shared" si="4"/>
        <v>0</v>
      </c>
    </row>
    <row r="310" spans="1:6" x14ac:dyDescent="0.3">
      <c r="A310" s="6" t="s">
        <v>14</v>
      </c>
      <c r="B310" s="6" t="s">
        <v>15</v>
      </c>
      <c r="C310" s="7">
        <v>45841</v>
      </c>
      <c r="D310" s="11">
        <v>278500</v>
      </c>
      <c r="E310" s="12">
        <f>MAX($D$261:D310)</f>
        <v>293000</v>
      </c>
      <c r="F310" s="8" t="b">
        <f t="shared" si="4"/>
        <v>0</v>
      </c>
    </row>
    <row r="311" spans="1:6" x14ac:dyDescent="0.3">
      <c r="A311" s="6" t="s">
        <v>14</v>
      </c>
      <c r="B311" s="6" t="s">
        <v>15</v>
      </c>
      <c r="C311" s="7">
        <v>45842</v>
      </c>
      <c r="D311" s="11">
        <v>270500</v>
      </c>
      <c r="E311" s="12">
        <f>MAX($D$261:D311)</f>
        <v>293000</v>
      </c>
      <c r="F311" s="8" t="b">
        <f t="shared" si="4"/>
        <v>0</v>
      </c>
    </row>
    <row r="312" spans="1:6" x14ac:dyDescent="0.3">
      <c r="A312" s="6" t="s">
        <v>14</v>
      </c>
      <c r="B312" s="6" t="s">
        <v>15</v>
      </c>
      <c r="C312" s="7">
        <v>45845</v>
      </c>
      <c r="D312" s="11">
        <v>271000</v>
      </c>
      <c r="E312" s="12">
        <f>MAX($D$261:D312)</f>
        <v>293000</v>
      </c>
      <c r="F312" s="8" t="b">
        <f t="shared" si="4"/>
        <v>0</v>
      </c>
    </row>
    <row r="313" spans="1:6" x14ac:dyDescent="0.3">
      <c r="A313" s="6" t="s">
        <v>14</v>
      </c>
      <c r="B313" s="6" t="s">
        <v>15</v>
      </c>
      <c r="C313" s="7">
        <v>45846</v>
      </c>
      <c r="D313" s="11">
        <v>282000</v>
      </c>
      <c r="E313" s="12">
        <f>MAX($D$261:D313)</f>
        <v>293000</v>
      </c>
      <c r="F313" s="8" t="b">
        <f t="shared" si="4"/>
        <v>0</v>
      </c>
    </row>
    <row r="314" spans="1:6" x14ac:dyDescent="0.3">
      <c r="A314" s="6" t="s">
        <v>14</v>
      </c>
      <c r="B314" s="6" t="s">
        <v>15</v>
      </c>
      <c r="C314" s="7">
        <v>45847</v>
      </c>
      <c r="D314" s="11">
        <v>281000</v>
      </c>
      <c r="E314" s="12">
        <f>MAX($D$261:D314)</f>
        <v>293000</v>
      </c>
      <c r="F314" s="8" t="b">
        <f t="shared" si="4"/>
        <v>0</v>
      </c>
    </row>
    <row r="315" spans="1:6" x14ac:dyDescent="0.3">
      <c r="A315" s="6" t="s">
        <v>14</v>
      </c>
      <c r="B315" s="6" t="s">
        <v>15</v>
      </c>
      <c r="C315" s="7">
        <v>45848</v>
      </c>
      <c r="D315" s="11">
        <v>297000</v>
      </c>
      <c r="E315" s="12">
        <f>MAX($D$261:D315)</f>
        <v>297000</v>
      </c>
      <c r="F315" s="8" t="b">
        <f t="shared" si="4"/>
        <v>0</v>
      </c>
    </row>
    <row r="316" spans="1:6" x14ac:dyDescent="0.3">
      <c r="A316" s="6" t="s">
        <v>14</v>
      </c>
      <c r="B316" s="6" t="s">
        <v>15</v>
      </c>
      <c r="C316" s="7">
        <v>45849</v>
      </c>
      <c r="D316" s="11">
        <v>294500</v>
      </c>
      <c r="E316" s="12">
        <f>MAX($D$261:D316)</f>
        <v>297000</v>
      </c>
      <c r="F316" s="8" t="b">
        <f t="shared" si="4"/>
        <v>0</v>
      </c>
    </row>
    <row r="317" spans="1:6" x14ac:dyDescent="0.3">
      <c r="A317" s="6" t="s">
        <v>14</v>
      </c>
      <c r="B317" s="6" t="s">
        <v>15</v>
      </c>
      <c r="C317" s="7">
        <v>45852</v>
      </c>
      <c r="D317" s="11">
        <v>300000</v>
      </c>
      <c r="E317" s="12">
        <f>MAX($D$261:D317)</f>
        <v>300000</v>
      </c>
      <c r="F317" s="8" t="b">
        <f t="shared" si="4"/>
        <v>0</v>
      </c>
    </row>
    <row r="318" spans="1:6" x14ac:dyDescent="0.3">
      <c r="A318" s="6" t="s">
        <v>14</v>
      </c>
      <c r="B318" s="6" t="s">
        <v>15</v>
      </c>
      <c r="C318" s="7">
        <v>45853</v>
      </c>
      <c r="D318" s="11">
        <v>298500</v>
      </c>
      <c r="E318" s="12">
        <f>MAX($D$261:D318)</f>
        <v>300000</v>
      </c>
      <c r="F318" s="8" t="b">
        <f t="shared" si="4"/>
        <v>0</v>
      </c>
    </row>
    <row r="319" spans="1:6" x14ac:dyDescent="0.3">
      <c r="A319" s="6" t="s">
        <v>14</v>
      </c>
      <c r="B319" s="6" t="s">
        <v>15</v>
      </c>
      <c r="C319" s="7">
        <v>45854</v>
      </c>
      <c r="D319" s="11">
        <v>296000</v>
      </c>
      <c r="E319" s="12">
        <f>MAX($D$261:D319)</f>
        <v>300000</v>
      </c>
      <c r="F319" s="8" t="b">
        <f t="shared" si="4"/>
        <v>0</v>
      </c>
    </row>
    <row r="320" spans="1:6" x14ac:dyDescent="0.3">
      <c r="A320" s="6" t="s">
        <v>14</v>
      </c>
      <c r="B320" s="6" t="s">
        <v>15</v>
      </c>
      <c r="C320" s="7">
        <v>45855</v>
      </c>
      <c r="D320" s="11">
        <v>269500</v>
      </c>
      <c r="E320" s="12">
        <f>MAX($D$261:D320)</f>
        <v>300000</v>
      </c>
      <c r="F320" s="8" t="b">
        <f t="shared" si="4"/>
        <v>0</v>
      </c>
    </row>
    <row r="321" spans="1:6" x14ac:dyDescent="0.3">
      <c r="A321" s="6" t="s">
        <v>14</v>
      </c>
      <c r="B321" s="6" t="s">
        <v>15</v>
      </c>
      <c r="C321" s="7">
        <v>45856</v>
      </c>
      <c r="D321" s="11">
        <v>269000</v>
      </c>
      <c r="E321" s="12">
        <f>MAX($D$261:D321)</f>
        <v>300000</v>
      </c>
      <c r="F321" s="8" t="b">
        <f t="shared" si="4"/>
        <v>0</v>
      </c>
    </row>
    <row r="322" spans="1:6" x14ac:dyDescent="0.3">
      <c r="A322" s="6" t="s">
        <v>14</v>
      </c>
      <c r="B322" s="6" t="s">
        <v>15</v>
      </c>
      <c r="C322" s="7">
        <v>45859</v>
      </c>
      <c r="D322" s="11">
        <v>272500</v>
      </c>
      <c r="E322" s="12">
        <f>MAX($D$261:D322)</f>
        <v>300000</v>
      </c>
      <c r="F322" s="8" t="b">
        <f t="shared" si="4"/>
        <v>0</v>
      </c>
    </row>
    <row r="323" spans="1:6" x14ac:dyDescent="0.3">
      <c r="A323" s="6" t="s">
        <v>14</v>
      </c>
      <c r="B323" s="6" t="s">
        <v>15</v>
      </c>
      <c r="C323" s="7">
        <v>45860</v>
      </c>
      <c r="D323" s="11">
        <v>268500</v>
      </c>
      <c r="E323" s="12">
        <f>MAX($D$261:D323)</f>
        <v>300000</v>
      </c>
      <c r="F323" s="8" t="b">
        <f t="shared" si="4"/>
        <v>0</v>
      </c>
    </row>
    <row r="324" spans="1:6" x14ac:dyDescent="0.3">
      <c r="A324" s="6" t="s">
        <v>14</v>
      </c>
      <c r="B324" s="6" t="s">
        <v>15</v>
      </c>
      <c r="C324" s="7">
        <v>45861</v>
      </c>
      <c r="D324" s="11">
        <v>269000</v>
      </c>
      <c r="E324" s="12">
        <f>MAX($D$261:D324)</f>
        <v>300000</v>
      </c>
      <c r="F324" s="8" t="b">
        <f t="shared" si="4"/>
        <v>0</v>
      </c>
    </row>
    <row r="325" spans="1:6" x14ac:dyDescent="0.3">
      <c r="A325" s="6" t="s">
        <v>14</v>
      </c>
      <c r="B325" s="6" t="s">
        <v>15</v>
      </c>
      <c r="C325" s="7">
        <v>45862</v>
      </c>
      <c r="D325" s="11">
        <v>269500</v>
      </c>
      <c r="E325" s="12">
        <f>MAX($D$261:D325)</f>
        <v>300000</v>
      </c>
      <c r="F325" s="8" t="b">
        <f t="shared" ref="F325:F388" si="5">D325=MAX($D$261:$D$512)</f>
        <v>0</v>
      </c>
    </row>
    <row r="326" spans="1:6" x14ac:dyDescent="0.3">
      <c r="A326" s="6" t="s">
        <v>14</v>
      </c>
      <c r="B326" s="6" t="s">
        <v>15</v>
      </c>
      <c r="C326" s="7">
        <v>45863</v>
      </c>
      <c r="D326" s="11">
        <v>266000</v>
      </c>
      <c r="E326" s="12">
        <f>MAX($D$261:D326)</f>
        <v>300000</v>
      </c>
      <c r="F326" s="8" t="b">
        <f t="shared" si="5"/>
        <v>0</v>
      </c>
    </row>
    <row r="327" spans="1:6" x14ac:dyDescent="0.3">
      <c r="A327" s="6" t="s">
        <v>14</v>
      </c>
      <c r="B327" s="6" t="s">
        <v>15</v>
      </c>
      <c r="C327" s="7">
        <v>45866</v>
      </c>
      <c r="D327" s="11">
        <v>262000</v>
      </c>
      <c r="E327" s="12">
        <f>MAX($D$261:D327)</f>
        <v>300000</v>
      </c>
      <c r="F327" s="8" t="b">
        <f t="shared" si="5"/>
        <v>0</v>
      </c>
    </row>
    <row r="328" spans="1:6" x14ac:dyDescent="0.3">
      <c r="A328" s="6" t="s">
        <v>14</v>
      </c>
      <c r="B328" s="6" t="s">
        <v>15</v>
      </c>
      <c r="C328" s="7">
        <v>45867</v>
      </c>
      <c r="D328" s="11">
        <v>262500</v>
      </c>
      <c r="E328" s="12">
        <f>MAX($D$261:D328)</f>
        <v>300000</v>
      </c>
      <c r="F328" s="8" t="b">
        <f t="shared" si="5"/>
        <v>0</v>
      </c>
    </row>
    <row r="329" spans="1:6" x14ac:dyDescent="0.3">
      <c r="A329" s="6" t="s">
        <v>14</v>
      </c>
      <c r="B329" s="6" t="s">
        <v>15</v>
      </c>
      <c r="C329" s="7">
        <v>45868</v>
      </c>
      <c r="D329" s="11">
        <v>263500</v>
      </c>
      <c r="E329" s="12">
        <f>MAX($D$261:D329)</f>
        <v>300000</v>
      </c>
      <c r="F329" s="8" t="b">
        <f t="shared" si="5"/>
        <v>0</v>
      </c>
    </row>
    <row r="330" spans="1:6" x14ac:dyDescent="0.3">
      <c r="A330" s="6" t="s">
        <v>14</v>
      </c>
      <c r="B330" s="6" t="s">
        <v>15</v>
      </c>
      <c r="C330" s="7">
        <v>45869</v>
      </c>
      <c r="D330" s="11">
        <v>273500</v>
      </c>
      <c r="E330" s="12">
        <f>MAX($D$261:D330)</f>
        <v>300000</v>
      </c>
      <c r="F330" s="8" t="b">
        <f t="shared" si="5"/>
        <v>0</v>
      </c>
    </row>
    <row r="331" spans="1:6" x14ac:dyDescent="0.3">
      <c r="A331" s="6" t="s">
        <v>14</v>
      </c>
      <c r="B331" s="6" t="s">
        <v>15</v>
      </c>
      <c r="C331" s="7">
        <v>45870</v>
      </c>
      <c r="D331" s="11">
        <v>258000</v>
      </c>
      <c r="E331" s="12">
        <f>MAX($D$261:D331)</f>
        <v>300000</v>
      </c>
      <c r="F331" s="8" t="b">
        <f t="shared" si="5"/>
        <v>0</v>
      </c>
    </row>
    <row r="332" spans="1:6" x14ac:dyDescent="0.3">
      <c r="A332" s="6" t="s">
        <v>14</v>
      </c>
      <c r="B332" s="6" t="s">
        <v>15</v>
      </c>
      <c r="C332" s="7">
        <v>45873</v>
      </c>
      <c r="D332" s="11">
        <v>258000</v>
      </c>
      <c r="E332" s="12">
        <f>MAX($D$261:D332)</f>
        <v>300000</v>
      </c>
      <c r="F332" s="8" t="b">
        <f t="shared" si="5"/>
        <v>0</v>
      </c>
    </row>
    <row r="333" spans="1:6" x14ac:dyDescent="0.3">
      <c r="A333" s="6" t="s">
        <v>14</v>
      </c>
      <c r="B333" s="6" t="s">
        <v>15</v>
      </c>
      <c r="C333" s="7">
        <v>45874</v>
      </c>
      <c r="D333" s="11">
        <v>263500</v>
      </c>
      <c r="E333" s="12">
        <f>MAX($D$261:D333)</f>
        <v>300000</v>
      </c>
      <c r="F333" s="8" t="b">
        <f t="shared" si="5"/>
        <v>0</v>
      </c>
    </row>
    <row r="334" spans="1:6" x14ac:dyDescent="0.3">
      <c r="A334" s="6" t="s">
        <v>14</v>
      </c>
      <c r="B334" s="6" t="s">
        <v>15</v>
      </c>
      <c r="C334" s="7">
        <v>45875</v>
      </c>
      <c r="D334" s="11">
        <v>258500</v>
      </c>
      <c r="E334" s="12">
        <f>MAX($D$261:D334)</f>
        <v>300000</v>
      </c>
      <c r="F334" s="8" t="b">
        <f t="shared" si="5"/>
        <v>0</v>
      </c>
    </row>
    <row r="335" spans="1:6" x14ac:dyDescent="0.3">
      <c r="A335" s="6" t="s">
        <v>14</v>
      </c>
      <c r="B335" s="6" t="s">
        <v>15</v>
      </c>
      <c r="C335" s="7">
        <v>45876</v>
      </c>
      <c r="D335" s="11">
        <v>262000</v>
      </c>
      <c r="E335" s="12">
        <f>MAX($D$261:D335)</f>
        <v>300000</v>
      </c>
      <c r="F335" s="8" t="b">
        <f t="shared" si="5"/>
        <v>0</v>
      </c>
    </row>
    <row r="336" spans="1:6" x14ac:dyDescent="0.3">
      <c r="A336" s="6" t="s">
        <v>14</v>
      </c>
      <c r="B336" s="6" t="s">
        <v>15</v>
      </c>
      <c r="C336" s="7">
        <v>45877</v>
      </c>
      <c r="D336" s="11">
        <v>256500</v>
      </c>
      <c r="E336" s="12">
        <f>MAX($D$261:D336)</f>
        <v>300000</v>
      </c>
      <c r="F336" s="8" t="b">
        <f t="shared" si="5"/>
        <v>0</v>
      </c>
    </row>
    <row r="337" spans="1:6" x14ac:dyDescent="0.3">
      <c r="A337" s="6" t="s">
        <v>14</v>
      </c>
      <c r="B337" s="6" t="s">
        <v>15</v>
      </c>
      <c r="C337" s="7">
        <v>45880</v>
      </c>
      <c r="D337" s="11">
        <v>267000</v>
      </c>
      <c r="E337" s="12">
        <f>MAX($D$261:D337)</f>
        <v>300000</v>
      </c>
      <c r="F337" s="8" t="b">
        <f t="shared" si="5"/>
        <v>0</v>
      </c>
    </row>
    <row r="338" spans="1:6" x14ac:dyDescent="0.3">
      <c r="A338" s="6" t="s">
        <v>14</v>
      </c>
      <c r="B338" s="6" t="s">
        <v>15</v>
      </c>
      <c r="C338" s="7">
        <v>45881</v>
      </c>
      <c r="D338" s="11">
        <v>269000</v>
      </c>
      <c r="E338" s="12">
        <f>MAX($D$261:D338)</f>
        <v>300000</v>
      </c>
      <c r="F338" s="8" t="b">
        <f t="shared" si="5"/>
        <v>0</v>
      </c>
    </row>
    <row r="339" spans="1:6" x14ac:dyDescent="0.3">
      <c r="A339" s="6" t="s">
        <v>14</v>
      </c>
      <c r="B339" s="6" t="s">
        <v>15</v>
      </c>
      <c r="C339" s="7">
        <v>45882</v>
      </c>
      <c r="D339" s="11">
        <v>278000</v>
      </c>
      <c r="E339" s="12">
        <f>MAX($D$261:D339)</f>
        <v>300000</v>
      </c>
      <c r="F339" s="8" t="b">
        <f t="shared" si="5"/>
        <v>0</v>
      </c>
    </row>
    <row r="340" spans="1:6" x14ac:dyDescent="0.3">
      <c r="A340" s="6" t="s">
        <v>14</v>
      </c>
      <c r="B340" s="6" t="s">
        <v>15</v>
      </c>
      <c r="C340" s="7">
        <v>45883</v>
      </c>
      <c r="D340" s="11">
        <v>276500</v>
      </c>
      <c r="E340" s="12">
        <f>MAX($D$261:D340)</f>
        <v>300000</v>
      </c>
      <c r="F340" s="8" t="b">
        <f t="shared" si="5"/>
        <v>0</v>
      </c>
    </row>
    <row r="341" spans="1:6" x14ac:dyDescent="0.3">
      <c r="A341" s="6" t="s">
        <v>14</v>
      </c>
      <c r="B341" s="6" t="s">
        <v>15</v>
      </c>
      <c r="C341" s="7">
        <v>45887</v>
      </c>
      <c r="D341" s="11">
        <v>267500</v>
      </c>
      <c r="E341" s="12">
        <f>MAX($D$261:D341)</f>
        <v>300000</v>
      </c>
      <c r="F341" s="8" t="b">
        <f t="shared" si="5"/>
        <v>0</v>
      </c>
    </row>
    <row r="342" spans="1:6" x14ac:dyDescent="0.3">
      <c r="A342" s="6" t="s">
        <v>14</v>
      </c>
      <c r="B342" s="6" t="s">
        <v>15</v>
      </c>
      <c r="C342" s="7">
        <v>45888</v>
      </c>
      <c r="D342" s="11">
        <v>263000</v>
      </c>
      <c r="E342" s="12">
        <f>MAX($D$261:D342)</f>
        <v>300000</v>
      </c>
      <c r="F342" s="8" t="b">
        <f t="shared" si="5"/>
        <v>0</v>
      </c>
    </row>
    <row r="343" spans="1:6" x14ac:dyDescent="0.3">
      <c r="A343" s="6" t="s">
        <v>14</v>
      </c>
      <c r="B343" s="6" t="s">
        <v>15</v>
      </c>
      <c r="C343" s="7">
        <v>45889</v>
      </c>
      <c r="D343" s="11">
        <v>255500</v>
      </c>
      <c r="E343" s="12">
        <f>MAX($D$261:D343)</f>
        <v>300000</v>
      </c>
      <c r="F343" s="8" t="b">
        <f t="shared" si="5"/>
        <v>0</v>
      </c>
    </row>
    <row r="344" spans="1:6" x14ac:dyDescent="0.3">
      <c r="A344" s="6" t="s">
        <v>14</v>
      </c>
      <c r="B344" s="6" t="s">
        <v>15</v>
      </c>
      <c r="C344" s="7">
        <v>45890</v>
      </c>
      <c r="D344" s="11">
        <v>245000</v>
      </c>
      <c r="E344" s="12">
        <f>MAX($D$261:D344)</f>
        <v>300000</v>
      </c>
      <c r="F344" s="8" t="b">
        <f t="shared" si="5"/>
        <v>0</v>
      </c>
    </row>
    <row r="345" spans="1:6" x14ac:dyDescent="0.3">
      <c r="A345" s="6" t="s">
        <v>14</v>
      </c>
      <c r="B345" s="6" t="s">
        <v>15</v>
      </c>
      <c r="C345" s="7">
        <v>45891</v>
      </c>
      <c r="D345" s="11">
        <v>251000</v>
      </c>
      <c r="E345" s="12">
        <f>MAX($D$261:D345)</f>
        <v>300000</v>
      </c>
      <c r="F345" s="8" t="b">
        <f t="shared" si="5"/>
        <v>0</v>
      </c>
    </row>
    <row r="346" spans="1:6" x14ac:dyDescent="0.3">
      <c r="A346" s="6" t="s">
        <v>14</v>
      </c>
      <c r="B346" s="6" t="s">
        <v>15</v>
      </c>
      <c r="C346" s="7">
        <v>45894</v>
      </c>
      <c r="D346" s="11">
        <v>259500</v>
      </c>
      <c r="E346" s="12">
        <f>MAX($D$261:D346)</f>
        <v>300000</v>
      </c>
      <c r="F346" s="8" t="b">
        <f t="shared" si="5"/>
        <v>0</v>
      </c>
    </row>
    <row r="347" spans="1:6" x14ac:dyDescent="0.3">
      <c r="A347" s="6" t="s">
        <v>14</v>
      </c>
      <c r="B347" s="6" t="s">
        <v>15</v>
      </c>
      <c r="C347" s="7">
        <v>45895</v>
      </c>
      <c r="D347" s="11">
        <v>261500</v>
      </c>
      <c r="E347" s="12">
        <f>MAX($D$261:D347)</f>
        <v>300000</v>
      </c>
      <c r="F347" s="8" t="b">
        <f t="shared" si="5"/>
        <v>0</v>
      </c>
    </row>
    <row r="348" spans="1:6" x14ac:dyDescent="0.3">
      <c r="A348" s="6" t="s">
        <v>14</v>
      </c>
      <c r="B348" s="6" t="s">
        <v>15</v>
      </c>
      <c r="C348" s="7">
        <v>45896</v>
      </c>
      <c r="D348" s="11">
        <v>260000</v>
      </c>
      <c r="E348" s="12">
        <f>MAX($D$261:D348)</f>
        <v>300000</v>
      </c>
      <c r="F348" s="8" t="b">
        <f t="shared" si="5"/>
        <v>0</v>
      </c>
    </row>
    <row r="349" spans="1:6" x14ac:dyDescent="0.3">
      <c r="A349" s="6" t="s">
        <v>14</v>
      </c>
      <c r="B349" s="6" t="s">
        <v>15</v>
      </c>
      <c r="C349" s="7">
        <v>45897</v>
      </c>
      <c r="D349" s="11">
        <v>268500</v>
      </c>
      <c r="E349" s="12">
        <f>MAX($D$261:D349)</f>
        <v>300000</v>
      </c>
      <c r="F349" s="8" t="b">
        <f t="shared" si="5"/>
        <v>0</v>
      </c>
    </row>
    <row r="350" spans="1:6" x14ac:dyDescent="0.3">
      <c r="A350" s="6" t="s">
        <v>14</v>
      </c>
      <c r="B350" s="6" t="s">
        <v>15</v>
      </c>
      <c r="C350" s="7">
        <v>45898</v>
      </c>
      <c r="D350" s="11">
        <v>269000</v>
      </c>
      <c r="E350" s="12">
        <f>MAX($D$261:D350)</f>
        <v>300000</v>
      </c>
      <c r="F350" s="8" t="b">
        <f t="shared" si="5"/>
        <v>0</v>
      </c>
    </row>
    <row r="351" spans="1:6" x14ac:dyDescent="0.3">
      <c r="A351" s="6" t="s">
        <v>14</v>
      </c>
      <c r="B351" s="6" t="s">
        <v>15</v>
      </c>
      <c r="C351" s="7">
        <v>45901</v>
      </c>
      <c r="D351" s="11">
        <v>256000</v>
      </c>
      <c r="E351" s="12">
        <f>MAX($D$261:D351)</f>
        <v>300000</v>
      </c>
      <c r="F351" s="8" t="b">
        <f t="shared" si="5"/>
        <v>0</v>
      </c>
    </row>
    <row r="352" spans="1:6" x14ac:dyDescent="0.3">
      <c r="A352" s="6" t="s">
        <v>14</v>
      </c>
      <c r="B352" s="6" t="s">
        <v>15</v>
      </c>
      <c r="C352" s="7">
        <v>45902</v>
      </c>
      <c r="D352" s="11">
        <v>260500</v>
      </c>
      <c r="E352" s="12">
        <f>MAX($D$261:D352)</f>
        <v>300000</v>
      </c>
      <c r="F352" s="8" t="b">
        <f t="shared" si="5"/>
        <v>0</v>
      </c>
    </row>
    <row r="353" spans="1:6" x14ac:dyDescent="0.3">
      <c r="A353" s="6" t="s">
        <v>14</v>
      </c>
      <c r="B353" s="6" t="s">
        <v>15</v>
      </c>
      <c r="C353" s="7">
        <v>45903</v>
      </c>
      <c r="D353" s="11">
        <v>262500</v>
      </c>
      <c r="E353" s="12">
        <f>MAX($D$261:D353)</f>
        <v>300000</v>
      </c>
      <c r="F353" s="8" t="b">
        <f t="shared" si="5"/>
        <v>0</v>
      </c>
    </row>
    <row r="354" spans="1:6" x14ac:dyDescent="0.3">
      <c r="A354" s="6" t="s">
        <v>14</v>
      </c>
      <c r="B354" s="6" t="s">
        <v>15</v>
      </c>
      <c r="C354" s="7">
        <v>45904</v>
      </c>
      <c r="D354" s="11">
        <v>265500</v>
      </c>
      <c r="E354" s="12">
        <f>MAX($D$261:D354)</f>
        <v>300000</v>
      </c>
      <c r="F354" s="8" t="b">
        <f t="shared" si="5"/>
        <v>0</v>
      </c>
    </row>
    <row r="355" spans="1:6" x14ac:dyDescent="0.3">
      <c r="A355" s="6" t="s">
        <v>14</v>
      </c>
      <c r="B355" s="6" t="s">
        <v>15</v>
      </c>
      <c r="C355" s="7">
        <v>45905</v>
      </c>
      <c r="D355" s="11">
        <v>273500</v>
      </c>
      <c r="E355" s="12">
        <f>MAX($D$261:D355)</f>
        <v>300000</v>
      </c>
      <c r="F355" s="8" t="b">
        <f t="shared" si="5"/>
        <v>0</v>
      </c>
    </row>
    <row r="356" spans="1:6" x14ac:dyDescent="0.3">
      <c r="A356" s="6" t="s">
        <v>14</v>
      </c>
      <c r="B356" s="6" t="s">
        <v>15</v>
      </c>
      <c r="C356" s="7">
        <v>45908</v>
      </c>
      <c r="D356" s="11">
        <v>277000</v>
      </c>
      <c r="E356" s="12">
        <f>MAX($D$261:D356)</f>
        <v>300000</v>
      </c>
      <c r="F356" s="8" t="b">
        <f t="shared" si="5"/>
        <v>0</v>
      </c>
    </row>
    <row r="357" spans="1:6" x14ac:dyDescent="0.3">
      <c r="A357" s="6" t="s">
        <v>14</v>
      </c>
      <c r="B357" s="6" t="s">
        <v>15</v>
      </c>
      <c r="C357" s="7">
        <v>45909</v>
      </c>
      <c r="D357" s="11">
        <v>288000</v>
      </c>
      <c r="E357" s="12">
        <f>MAX($D$261:D357)</f>
        <v>300000</v>
      </c>
      <c r="F357" s="8" t="b">
        <f t="shared" si="5"/>
        <v>0</v>
      </c>
    </row>
    <row r="358" spans="1:6" x14ac:dyDescent="0.3">
      <c r="A358" s="6" t="s">
        <v>14</v>
      </c>
      <c r="B358" s="6" t="s">
        <v>15</v>
      </c>
      <c r="C358" s="7">
        <v>45910</v>
      </c>
      <c r="D358" s="11">
        <v>304000</v>
      </c>
      <c r="E358" s="12">
        <f>MAX($D$261:D358)</f>
        <v>304000</v>
      </c>
      <c r="F358" s="8" t="b">
        <f t="shared" si="5"/>
        <v>0</v>
      </c>
    </row>
    <row r="359" spans="1:6" x14ac:dyDescent="0.3">
      <c r="A359" s="6" t="s">
        <v>14</v>
      </c>
      <c r="B359" s="6" t="s">
        <v>15</v>
      </c>
      <c r="C359" s="7">
        <v>45911</v>
      </c>
      <c r="D359" s="11">
        <v>307000</v>
      </c>
      <c r="E359" s="12">
        <f>MAX($D$261:D359)</f>
        <v>307000</v>
      </c>
      <c r="F359" s="8" t="b">
        <f t="shared" si="5"/>
        <v>0</v>
      </c>
    </row>
    <row r="360" spans="1:6" x14ac:dyDescent="0.3">
      <c r="A360" s="6" t="s">
        <v>14</v>
      </c>
      <c r="B360" s="6" t="s">
        <v>15</v>
      </c>
      <c r="C360" s="7">
        <v>45912</v>
      </c>
      <c r="D360" s="11">
        <v>328500</v>
      </c>
      <c r="E360" s="12">
        <f>MAX($D$261:D360)</f>
        <v>328500</v>
      </c>
      <c r="F360" s="8" t="b">
        <f t="shared" si="5"/>
        <v>0</v>
      </c>
    </row>
    <row r="361" spans="1:6" x14ac:dyDescent="0.3">
      <c r="A361" s="6" t="s">
        <v>14</v>
      </c>
      <c r="B361" s="6" t="s">
        <v>15</v>
      </c>
      <c r="C361" s="7">
        <v>45915</v>
      </c>
      <c r="D361" s="11">
        <v>331000</v>
      </c>
      <c r="E361" s="12">
        <f>MAX($D$261:D361)</f>
        <v>331000</v>
      </c>
      <c r="F361" s="8" t="b">
        <f t="shared" si="5"/>
        <v>0</v>
      </c>
    </row>
    <row r="362" spans="1:6" x14ac:dyDescent="0.3">
      <c r="A362" s="6" t="s">
        <v>14</v>
      </c>
      <c r="B362" s="6" t="s">
        <v>15</v>
      </c>
      <c r="C362" s="7">
        <v>45916</v>
      </c>
      <c r="D362" s="11">
        <v>348000</v>
      </c>
      <c r="E362" s="12">
        <f>MAX($D$261:D362)</f>
        <v>348000</v>
      </c>
      <c r="F362" s="8" t="b">
        <f t="shared" si="5"/>
        <v>0</v>
      </c>
    </row>
    <row r="363" spans="1:6" x14ac:dyDescent="0.3">
      <c r="A363" s="6" t="s">
        <v>14</v>
      </c>
      <c r="B363" s="6" t="s">
        <v>15</v>
      </c>
      <c r="C363" s="7">
        <v>45917</v>
      </c>
      <c r="D363" s="11">
        <v>333500</v>
      </c>
      <c r="E363" s="12">
        <f>MAX($D$261:D363)</f>
        <v>348000</v>
      </c>
      <c r="F363" s="8" t="b">
        <f t="shared" si="5"/>
        <v>0</v>
      </c>
    </row>
    <row r="364" spans="1:6" x14ac:dyDescent="0.3">
      <c r="A364" s="6" t="s">
        <v>14</v>
      </c>
      <c r="B364" s="6" t="s">
        <v>15</v>
      </c>
      <c r="C364" s="7">
        <v>45918</v>
      </c>
      <c r="D364" s="11">
        <v>353000</v>
      </c>
      <c r="E364" s="12">
        <f>MAX($D$261:D364)</f>
        <v>353000</v>
      </c>
      <c r="F364" s="8" t="b">
        <f t="shared" si="5"/>
        <v>0</v>
      </c>
    </row>
    <row r="365" spans="1:6" x14ac:dyDescent="0.3">
      <c r="A365" s="6" t="s">
        <v>14</v>
      </c>
      <c r="B365" s="6" t="s">
        <v>15</v>
      </c>
      <c r="C365" s="7">
        <v>45919</v>
      </c>
      <c r="D365" s="11">
        <v>353000</v>
      </c>
      <c r="E365" s="12">
        <f>MAX($D$261:D365)</f>
        <v>353000</v>
      </c>
      <c r="F365" s="8" t="b">
        <f t="shared" si="5"/>
        <v>0</v>
      </c>
    </row>
    <row r="366" spans="1:6" x14ac:dyDescent="0.3">
      <c r="A366" s="6" t="s">
        <v>14</v>
      </c>
      <c r="B366" s="6" t="s">
        <v>15</v>
      </c>
      <c r="C366" s="7">
        <v>45922</v>
      </c>
      <c r="D366" s="11">
        <v>351000</v>
      </c>
      <c r="E366" s="12">
        <f>MAX($D$261:D366)</f>
        <v>353000</v>
      </c>
      <c r="F366" s="8" t="b">
        <f t="shared" si="5"/>
        <v>0</v>
      </c>
    </row>
    <row r="367" spans="1:6" x14ac:dyDescent="0.3">
      <c r="A367" s="6" t="s">
        <v>14</v>
      </c>
      <c r="B367" s="6" t="s">
        <v>15</v>
      </c>
      <c r="C367" s="7">
        <v>45923</v>
      </c>
      <c r="D367" s="11">
        <v>361000</v>
      </c>
      <c r="E367" s="12">
        <f>MAX($D$261:D367)</f>
        <v>361000</v>
      </c>
      <c r="F367" s="8" t="b">
        <f t="shared" si="5"/>
        <v>0</v>
      </c>
    </row>
    <row r="368" spans="1:6" x14ac:dyDescent="0.3">
      <c r="A368" s="6" t="s">
        <v>14</v>
      </c>
      <c r="B368" s="6" t="s">
        <v>15</v>
      </c>
      <c r="C368" s="7">
        <v>45924</v>
      </c>
      <c r="D368" s="11">
        <v>357500</v>
      </c>
      <c r="E368" s="12">
        <f>MAX($D$261:D368)</f>
        <v>361000</v>
      </c>
      <c r="F368" s="8" t="b">
        <f t="shared" si="5"/>
        <v>0</v>
      </c>
    </row>
    <row r="369" spans="1:6" x14ac:dyDescent="0.3">
      <c r="A369" s="6" t="s">
        <v>14</v>
      </c>
      <c r="B369" s="6" t="s">
        <v>15</v>
      </c>
      <c r="C369" s="7">
        <v>45925</v>
      </c>
      <c r="D369" s="11">
        <v>356500</v>
      </c>
      <c r="E369" s="12">
        <f>MAX($D$261:D369)</f>
        <v>361000</v>
      </c>
      <c r="F369" s="8" t="b">
        <f t="shared" si="5"/>
        <v>0</v>
      </c>
    </row>
    <row r="370" spans="1:6" x14ac:dyDescent="0.3">
      <c r="A370" s="6" t="s">
        <v>14</v>
      </c>
      <c r="B370" s="6" t="s">
        <v>15</v>
      </c>
      <c r="C370" s="7">
        <v>45926</v>
      </c>
      <c r="D370" s="11">
        <v>336500</v>
      </c>
      <c r="E370" s="12">
        <f>MAX($D$261:D370)</f>
        <v>361000</v>
      </c>
      <c r="F370" s="8" t="b">
        <f t="shared" si="5"/>
        <v>0</v>
      </c>
    </row>
    <row r="371" spans="1:6" x14ac:dyDescent="0.3">
      <c r="A371" s="6" t="s">
        <v>14</v>
      </c>
      <c r="B371" s="6" t="s">
        <v>15</v>
      </c>
      <c r="C371" s="7">
        <v>45929</v>
      </c>
      <c r="D371" s="11">
        <v>349000</v>
      </c>
      <c r="E371" s="12">
        <f>MAX($D$261:D371)</f>
        <v>361000</v>
      </c>
      <c r="F371" s="8" t="b">
        <f t="shared" si="5"/>
        <v>0</v>
      </c>
    </row>
    <row r="372" spans="1:6" x14ac:dyDescent="0.3">
      <c r="A372" s="6" t="s">
        <v>14</v>
      </c>
      <c r="B372" s="6" t="s">
        <v>15</v>
      </c>
      <c r="C372" s="7">
        <v>45930</v>
      </c>
      <c r="D372" s="11">
        <v>347500</v>
      </c>
      <c r="E372" s="12">
        <f>MAX($D$261:D372)</f>
        <v>361000</v>
      </c>
      <c r="F372" s="8" t="b">
        <f t="shared" si="5"/>
        <v>0</v>
      </c>
    </row>
    <row r="373" spans="1:6" x14ac:dyDescent="0.3">
      <c r="A373" s="6" t="s">
        <v>14</v>
      </c>
      <c r="B373" s="6" t="s">
        <v>15</v>
      </c>
      <c r="C373" s="7">
        <v>45931</v>
      </c>
      <c r="D373" s="11">
        <v>360000</v>
      </c>
      <c r="E373" s="12">
        <f>MAX($D$261:D373)</f>
        <v>361000</v>
      </c>
      <c r="F373" s="8" t="b">
        <f t="shared" si="5"/>
        <v>0</v>
      </c>
    </row>
    <row r="374" spans="1:6" x14ac:dyDescent="0.3">
      <c r="A374" s="6" t="s">
        <v>14</v>
      </c>
      <c r="B374" s="6" t="s">
        <v>15</v>
      </c>
      <c r="C374" s="7">
        <v>45932</v>
      </c>
      <c r="D374" s="11">
        <v>395500</v>
      </c>
      <c r="E374" s="12">
        <f>MAX($D$261:D374)</f>
        <v>395500</v>
      </c>
      <c r="F374" s="8" t="b">
        <f t="shared" si="5"/>
        <v>0</v>
      </c>
    </row>
    <row r="375" spans="1:6" x14ac:dyDescent="0.3">
      <c r="A375" s="6" t="s">
        <v>14</v>
      </c>
      <c r="B375" s="6" t="s">
        <v>15</v>
      </c>
      <c r="C375" s="7">
        <v>45940</v>
      </c>
      <c r="D375" s="11">
        <v>428000</v>
      </c>
      <c r="E375" s="12">
        <f>MAX($D$261:D375)</f>
        <v>428000</v>
      </c>
      <c r="F375" s="8" t="b">
        <f t="shared" si="5"/>
        <v>0</v>
      </c>
    </row>
    <row r="376" spans="1:6" x14ac:dyDescent="0.3">
      <c r="A376" s="6" t="s">
        <v>14</v>
      </c>
      <c r="B376" s="6" t="s">
        <v>15</v>
      </c>
      <c r="C376" s="7">
        <v>45943</v>
      </c>
      <c r="D376" s="11">
        <v>415000</v>
      </c>
      <c r="E376" s="12">
        <f>MAX($D$261:D376)</f>
        <v>428000</v>
      </c>
      <c r="F376" s="8" t="b">
        <f t="shared" si="5"/>
        <v>0</v>
      </c>
    </row>
    <row r="377" spans="1:6" x14ac:dyDescent="0.3">
      <c r="A377" s="6" t="s">
        <v>14</v>
      </c>
      <c r="B377" s="6" t="s">
        <v>15</v>
      </c>
      <c r="C377" s="7">
        <v>45944</v>
      </c>
      <c r="D377" s="11">
        <v>411500</v>
      </c>
      <c r="E377" s="12">
        <f>MAX($D$261:D377)</f>
        <v>428000</v>
      </c>
      <c r="F377" s="8" t="b">
        <f t="shared" si="5"/>
        <v>0</v>
      </c>
    </row>
    <row r="378" spans="1:6" x14ac:dyDescent="0.3">
      <c r="A378" s="6" t="s">
        <v>14</v>
      </c>
      <c r="B378" s="6" t="s">
        <v>15</v>
      </c>
      <c r="C378" s="7">
        <v>45945</v>
      </c>
      <c r="D378" s="11">
        <v>422500</v>
      </c>
      <c r="E378" s="12">
        <f>MAX($D$261:D378)</f>
        <v>428000</v>
      </c>
      <c r="F378" s="8" t="b">
        <f t="shared" si="5"/>
        <v>0</v>
      </c>
    </row>
    <row r="379" spans="1:6" x14ac:dyDescent="0.3">
      <c r="A379" s="6" t="s">
        <v>14</v>
      </c>
      <c r="B379" s="6" t="s">
        <v>15</v>
      </c>
      <c r="C379" s="7">
        <v>45946</v>
      </c>
      <c r="D379" s="11">
        <v>452500</v>
      </c>
      <c r="E379" s="12">
        <f>MAX($D$261:D379)</f>
        <v>452500</v>
      </c>
      <c r="F379" s="8" t="b">
        <f t="shared" si="5"/>
        <v>0</v>
      </c>
    </row>
    <row r="380" spans="1:6" x14ac:dyDescent="0.3">
      <c r="A380" s="6" t="s">
        <v>14</v>
      </c>
      <c r="B380" s="6" t="s">
        <v>15</v>
      </c>
      <c r="C380" s="7">
        <v>45947</v>
      </c>
      <c r="D380" s="11">
        <v>465500</v>
      </c>
      <c r="E380" s="12">
        <f>MAX($D$261:D380)</f>
        <v>465500</v>
      </c>
      <c r="F380" s="8" t="b">
        <f t="shared" si="5"/>
        <v>0</v>
      </c>
    </row>
    <row r="381" spans="1:6" x14ac:dyDescent="0.3">
      <c r="A381" s="6" t="s">
        <v>14</v>
      </c>
      <c r="B381" s="6" t="s">
        <v>15</v>
      </c>
      <c r="C381" s="7">
        <v>45950</v>
      </c>
      <c r="D381" s="11">
        <v>485500</v>
      </c>
      <c r="E381" s="12">
        <f>MAX($D$261:D381)</f>
        <v>485500</v>
      </c>
      <c r="F381" s="8" t="b">
        <f t="shared" si="5"/>
        <v>0</v>
      </c>
    </row>
    <row r="382" spans="1:6" x14ac:dyDescent="0.3">
      <c r="A382" s="6" t="s">
        <v>14</v>
      </c>
      <c r="B382" s="6" t="s">
        <v>15</v>
      </c>
      <c r="C382" s="7">
        <v>45951</v>
      </c>
      <c r="D382" s="11">
        <v>479000</v>
      </c>
      <c r="E382" s="12">
        <f>MAX($D$261:D382)</f>
        <v>485500</v>
      </c>
      <c r="F382" s="8" t="b">
        <f t="shared" si="5"/>
        <v>0</v>
      </c>
    </row>
    <row r="383" spans="1:6" x14ac:dyDescent="0.3">
      <c r="A383" s="6" t="s">
        <v>14</v>
      </c>
      <c r="B383" s="6" t="s">
        <v>15</v>
      </c>
      <c r="C383" s="7">
        <v>45952</v>
      </c>
      <c r="D383" s="11">
        <v>481500</v>
      </c>
      <c r="E383" s="12">
        <f>MAX($D$261:D383)</f>
        <v>485500</v>
      </c>
      <c r="F383" s="8" t="b">
        <f t="shared" si="5"/>
        <v>0</v>
      </c>
    </row>
    <row r="384" spans="1:6" x14ac:dyDescent="0.3">
      <c r="A384" s="6" t="s">
        <v>14</v>
      </c>
      <c r="B384" s="6" t="s">
        <v>15</v>
      </c>
      <c r="C384" s="7">
        <v>45953</v>
      </c>
      <c r="D384" s="11">
        <v>478500</v>
      </c>
      <c r="E384" s="12">
        <f>MAX($D$261:D384)</f>
        <v>485500</v>
      </c>
      <c r="F384" s="8" t="b">
        <f t="shared" si="5"/>
        <v>0</v>
      </c>
    </row>
    <row r="385" spans="1:6" x14ac:dyDescent="0.3">
      <c r="A385" s="6" t="s">
        <v>14</v>
      </c>
      <c r="B385" s="6" t="s">
        <v>15</v>
      </c>
      <c r="C385" s="7">
        <v>45954</v>
      </c>
      <c r="D385" s="11">
        <v>510000</v>
      </c>
      <c r="E385" s="12">
        <f>MAX($D$261:D385)</f>
        <v>510000</v>
      </c>
      <c r="F385" s="8" t="b">
        <f t="shared" si="5"/>
        <v>0</v>
      </c>
    </row>
    <row r="386" spans="1:6" x14ac:dyDescent="0.3">
      <c r="A386" s="6" t="s">
        <v>14</v>
      </c>
      <c r="B386" s="6" t="s">
        <v>15</v>
      </c>
      <c r="C386" s="7">
        <v>45957</v>
      </c>
      <c r="D386" s="11">
        <v>535000</v>
      </c>
      <c r="E386" s="12">
        <f>MAX($D$261:D386)</f>
        <v>535000</v>
      </c>
      <c r="F386" s="8" t="b">
        <f t="shared" si="5"/>
        <v>0</v>
      </c>
    </row>
    <row r="387" spans="1:6" x14ac:dyDescent="0.3">
      <c r="A387" s="6" t="s">
        <v>14</v>
      </c>
      <c r="B387" s="6" t="s">
        <v>15</v>
      </c>
      <c r="C387" s="7">
        <v>45958</v>
      </c>
      <c r="D387" s="11">
        <v>521000</v>
      </c>
      <c r="E387" s="12">
        <f>MAX($D$261:D387)</f>
        <v>535000</v>
      </c>
      <c r="F387" s="8" t="b">
        <f t="shared" si="5"/>
        <v>0</v>
      </c>
    </row>
    <row r="388" spans="1:6" x14ac:dyDescent="0.3">
      <c r="A388" s="6" t="s">
        <v>14</v>
      </c>
      <c r="B388" s="6" t="s">
        <v>15</v>
      </c>
      <c r="C388" s="7">
        <v>45959</v>
      </c>
      <c r="D388" s="11">
        <v>558000</v>
      </c>
      <c r="E388" s="12">
        <f>MAX($D$261:D388)</f>
        <v>558000</v>
      </c>
      <c r="F388" s="8" t="b">
        <f t="shared" si="5"/>
        <v>0</v>
      </c>
    </row>
    <row r="389" spans="1:6" x14ac:dyDescent="0.3">
      <c r="A389" s="6" t="s">
        <v>14</v>
      </c>
      <c r="B389" s="6" t="s">
        <v>15</v>
      </c>
      <c r="C389" s="7">
        <v>45960</v>
      </c>
      <c r="D389" s="11">
        <v>568000</v>
      </c>
      <c r="E389" s="12">
        <f>MAX($D$261:D389)</f>
        <v>568000</v>
      </c>
      <c r="F389" s="8" t="b">
        <f t="shared" ref="F389:F452" si="6">D389=MAX($D$261:$D$512)</f>
        <v>0</v>
      </c>
    </row>
    <row r="390" spans="1:6" x14ac:dyDescent="0.3">
      <c r="A390" s="6" t="s">
        <v>14</v>
      </c>
      <c r="B390" s="6" t="s">
        <v>15</v>
      </c>
      <c r="C390" s="7">
        <v>45961</v>
      </c>
      <c r="D390" s="11">
        <v>559000</v>
      </c>
      <c r="E390" s="12">
        <f>MAX($D$261:D390)</f>
        <v>568000</v>
      </c>
      <c r="F390" s="8" t="b">
        <f t="shared" si="6"/>
        <v>0</v>
      </c>
    </row>
    <row r="391" spans="1:6" x14ac:dyDescent="0.3">
      <c r="A391" s="6" t="s">
        <v>14</v>
      </c>
      <c r="B391" s="6" t="s">
        <v>15</v>
      </c>
      <c r="C391" s="7">
        <v>45964</v>
      </c>
      <c r="D391" s="11">
        <v>620000</v>
      </c>
      <c r="E391" s="12">
        <f>MAX($D$261:D391)</f>
        <v>620000</v>
      </c>
      <c r="F391" s="8" t="b">
        <f t="shared" si="6"/>
        <v>0</v>
      </c>
    </row>
    <row r="392" spans="1:6" x14ac:dyDescent="0.3">
      <c r="A392" s="6" t="s">
        <v>14</v>
      </c>
      <c r="B392" s="6" t="s">
        <v>15</v>
      </c>
      <c r="C392" s="7">
        <v>45965</v>
      </c>
      <c r="D392" s="11">
        <v>586000</v>
      </c>
      <c r="E392" s="12">
        <f>MAX($D$261:D392)</f>
        <v>620000</v>
      </c>
      <c r="F392" s="8" t="b">
        <f t="shared" si="6"/>
        <v>0</v>
      </c>
    </row>
    <row r="393" spans="1:6" x14ac:dyDescent="0.3">
      <c r="A393" s="6" t="s">
        <v>14</v>
      </c>
      <c r="B393" s="6" t="s">
        <v>15</v>
      </c>
      <c r="C393" s="7">
        <v>45966</v>
      </c>
      <c r="D393" s="11">
        <v>579000</v>
      </c>
      <c r="E393" s="12">
        <f>MAX($D$261:D393)</f>
        <v>620000</v>
      </c>
      <c r="F393" s="8" t="b">
        <f t="shared" si="6"/>
        <v>0</v>
      </c>
    </row>
    <row r="394" spans="1:6" x14ac:dyDescent="0.3">
      <c r="A394" s="6" t="s">
        <v>14</v>
      </c>
      <c r="B394" s="6" t="s">
        <v>15</v>
      </c>
      <c r="C394" s="7">
        <v>45967</v>
      </c>
      <c r="D394" s="11">
        <v>593000</v>
      </c>
      <c r="E394" s="12">
        <f>MAX($D$261:D394)</f>
        <v>620000</v>
      </c>
      <c r="F394" s="8" t="b">
        <f t="shared" si="6"/>
        <v>0</v>
      </c>
    </row>
    <row r="395" spans="1:6" x14ac:dyDescent="0.3">
      <c r="A395" s="6" t="s">
        <v>14</v>
      </c>
      <c r="B395" s="6" t="s">
        <v>15</v>
      </c>
      <c r="C395" s="7">
        <v>45968</v>
      </c>
      <c r="D395" s="11">
        <v>580000</v>
      </c>
      <c r="E395" s="12">
        <f>MAX($D$261:D395)</f>
        <v>620000</v>
      </c>
      <c r="F395" s="8" t="b">
        <f t="shared" si="6"/>
        <v>0</v>
      </c>
    </row>
    <row r="396" spans="1:6" x14ac:dyDescent="0.3">
      <c r="A396" s="6" t="s">
        <v>14</v>
      </c>
      <c r="B396" s="6" t="s">
        <v>15</v>
      </c>
      <c r="C396" s="7">
        <v>45971</v>
      </c>
      <c r="D396" s="11">
        <v>606000</v>
      </c>
      <c r="E396" s="12">
        <f>MAX($D$261:D396)</f>
        <v>620000</v>
      </c>
      <c r="F396" s="8" t="b">
        <f t="shared" si="6"/>
        <v>0</v>
      </c>
    </row>
    <row r="397" spans="1:6" x14ac:dyDescent="0.3">
      <c r="A397" s="6" t="s">
        <v>14</v>
      </c>
      <c r="B397" s="6" t="s">
        <v>15</v>
      </c>
      <c r="C397" s="7">
        <v>45972</v>
      </c>
      <c r="D397" s="11">
        <v>619000</v>
      </c>
      <c r="E397" s="12">
        <f>MAX($D$261:D397)</f>
        <v>620000</v>
      </c>
      <c r="F397" s="8" t="b">
        <f t="shared" si="6"/>
        <v>0</v>
      </c>
    </row>
    <row r="398" spans="1:6" x14ac:dyDescent="0.3">
      <c r="A398" s="6" t="s">
        <v>14</v>
      </c>
      <c r="B398" s="6" t="s">
        <v>15</v>
      </c>
      <c r="C398" s="7">
        <v>45973</v>
      </c>
      <c r="D398" s="11">
        <v>617000</v>
      </c>
      <c r="E398" s="12">
        <f>MAX($D$261:D398)</f>
        <v>620000</v>
      </c>
      <c r="F398" s="8" t="b">
        <f t="shared" si="6"/>
        <v>0</v>
      </c>
    </row>
    <row r="399" spans="1:6" x14ac:dyDescent="0.3">
      <c r="A399" s="6" t="s">
        <v>14</v>
      </c>
      <c r="B399" s="6" t="s">
        <v>15</v>
      </c>
      <c r="C399" s="7">
        <v>45974</v>
      </c>
      <c r="D399" s="11">
        <v>612000</v>
      </c>
      <c r="E399" s="12">
        <f>MAX($D$261:D399)</f>
        <v>620000</v>
      </c>
      <c r="F399" s="8" t="b">
        <f t="shared" si="6"/>
        <v>0</v>
      </c>
    </row>
    <row r="400" spans="1:6" x14ac:dyDescent="0.3">
      <c r="A400" s="6" t="s">
        <v>14</v>
      </c>
      <c r="B400" s="6" t="s">
        <v>15</v>
      </c>
      <c r="C400" s="7">
        <v>45975</v>
      </c>
      <c r="D400" s="11">
        <v>560000</v>
      </c>
      <c r="E400" s="12">
        <f>MAX($D$261:D400)</f>
        <v>620000</v>
      </c>
      <c r="F400" s="8" t="b">
        <f t="shared" si="6"/>
        <v>0</v>
      </c>
    </row>
    <row r="401" spans="1:6" x14ac:dyDescent="0.3">
      <c r="A401" s="6" t="s">
        <v>14</v>
      </c>
      <c r="B401" s="6" t="s">
        <v>15</v>
      </c>
      <c r="C401" s="7">
        <v>45978</v>
      </c>
      <c r="D401" s="11">
        <v>606000</v>
      </c>
      <c r="E401" s="12">
        <f>MAX($D$261:D401)</f>
        <v>620000</v>
      </c>
      <c r="F401" s="8" t="b">
        <f t="shared" si="6"/>
        <v>0</v>
      </c>
    </row>
    <row r="402" spans="1:6" x14ac:dyDescent="0.3">
      <c r="A402" s="6" t="s">
        <v>14</v>
      </c>
      <c r="B402" s="6" t="s">
        <v>15</v>
      </c>
      <c r="C402" s="7">
        <v>45979</v>
      </c>
      <c r="D402" s="11">
        <v>570000</v>
      </c>
      <c r="E402" s="12">
        <f>MAX($D$261:D402)</f>
        <v>620000</v>
      </c>
      <c r="F402" s="8" t="b">
        <f t="shared" si="6"/>
        <v>0</v>
      </c>
    </row>
    <row r="403" spans="1:6" x14ac:dyDescent="0.3">
      <c r="A403" s="6" t="s">
        <v>14</v>
      </c>
      <c r="B403" s="6" t="s">
        <v>15</v>
      </c>
      <c r="C403" s="7">
        <v>45980</v>
      </c>
      <c r="D403" s="11">
        <v>562000</v>
      </c>
      <c r="E403" s="12">
        <f>MAX($D$261:D403)</f>
        <v>620000</v>
      </c>
      <c r="F403" s="8" t="b">
        <f t="shared" si="6"/>
        <v>0</v>
      </c>
    </row>
    <row r="404" spans="1:6" x14ac:dyDescent="0.3">
      <c r="A404" s="6" t="s">
        <v>14</v>
      </c>
      <c r="B404" s="6" t="s">
        <v>15</v>
      </c>
      <c r="C404" s="7">
        <v>45981</v>
      </c>
      <c r="D404" s="11">
        <v>571000</v>
      </c>
      <c r="E404" s="12">
        <f>MAX($D$261:D404)</f>
        <v>620000</v>
      </c>
      <c r="F404" s="8" t="b">
        <f t="shared" si="6"/>
        <v>0</v>
      </c>
    </row>
    <row r="405" spans="1:6" x14ac:dyDescent="0.3">
      <c r="A405" s="6" t="s">
        <v>14</v>
      </c>
      <c r="B405" s="6" t="s">
        <v>15</v>
      </c>
      <c r="C405" s="7">
        <v>45982</v>
      </c>
      <c r="D405" s="11">
        <v>521000</v>
      </c>
      <c r="E405" s="12">
        <f>MAX($D$261:D405)</f>
        <v>620000</v>
      </c>
      <c r="F405" s="8" t="b">
        <f t="shared" si="6"/>
        <v>0</v>
      </c>
    </row>
    <row r="406" spans="1:6" x14ac:dyDescent="0.3">
      <c r="A406" s="6" t="s">
        <v>14</v>
      </c>
      <c r="B406" s="6" t="s">
        <v>15</v>
      </c>
      <c r="C406" s="7">
        <v>45985</v>
      </c>
      <c r="D406" s="11">
        <v>520000</v>
      </c>
      <c r="E406" s="12">
        <f>MAX($D$261:D406)</f>
        <v>620000</v>
      </c>
      <c r="F406" s="8" t="b">
        <f t="shared" si="6"/>
        <v>0</v>
      </c>
    </row>
    <row r="407" spans="1:6" x14ac:dyDescent="0.3">
      <c r="A407" s="6" t="s">
        <v>14</v>
      </c>
      <c r="B407" s="6" t="s">
        <v>15</v>
      </c>
      <c r="C407" s="7">
        <v>45986</v>
      </c>
      <c r="D407" s="11">
        <v>519000</v>
      </c>
      <c r="E407" s="12">
        <f>MAX($D$261:D407)</f>
        <v>620000</v>
      </c>
      <c r="F407" s="8" t="b">
        <f t="shared" si="6"/>
        <v>0</v>
      </c>
    </row>
    <row r="408" spans="1:6" x14ac:dyDescent="0.3">
      <c r="A408" s="6" t="s">
        <v>14</v>
      </c>
      <c r="B408" s="6" t="s">
        <v>15</v>
      </c>
      <c r="C408" s="7">
        <v>45987</v>
      </c>
      <c r="D408" s="11">
        <v>524000</v>
      </c>
      <c r="E408" s="12">
        <f>MAX($D$261:D408)</f>
        <v>620000</v>
      </c>
      <c r="F408" s="8" t="b">
        <f t="shared" si="6"/>
        <v>0</v>
      </c>
    </row>
    <row r="409" spans="1:6" x14ac:dyDescent="0.3">
      <c r="A409" s="6" t="s">
        <v>14</v>
      </c>
      <c r="B409" s="6" t="s">
        <v>15</v>
      </c>
      <c r="C409" s="7">
        <v>45988</v>
      </c>
      <c r="D409" s="11">
        <v>544000</v>
      </c>
      <c r="E409" s="12">
        <f>MAX($D$261:D409)</f>
        <v>620000</v>
      </c>
      <c r="F409" s="8" t="b">
        <f t="shared" si="6"/>
        <v>0</v>
      </c>
    </row>
    <row r="410" spans="1:6" x14ac:dyDescent="0.3">
      <c r="A410" s="6" t="s">
        <v>14</v>
      </c>
      <c r="B410" s="6" t="s">
        <v>15</v>
      </c>
      <c r="C410" s="7">
        <v>45989</v>
      </c>
      <c r="D410" s="11">
        <v>530000</v>
      </c>
      <c r="E410" s="12">
        <f>MAX($D$261:D410)</f>
        <v>620000</v>
      </c>
      <c r="F410" s="8" t="b">
        <f t="shared" si="6"/>
        <v>0</v>
      </c>
    </row>
    <row r="411" spans="1:6" x14ac:dyDescent="0.3">
      <c r="A411" s="6" t="s">
        <v>14</v>
      </c>
      <c r="B411" s="6" t="s">
        <v>15</v>
      </c>
      <c r="C411" s="7">
        <v>45992</v>
      </c>
      <c r="D411" s="11">
        <v>538000</v>
      </c>
      <c r="E411" s="12">
        <f>MAX($D$261:D411)</f>
        <v>620000</v>
      </c>
      <c r="F411" s="8" t="b">
        <f t="shared" si="6"/>
        <v>0</v>
      </c>
    </row>
    <row r="412" spans="1:6" x14ac:dyDescent="0.3">
      <c r="A412" s="6" t="s">
        <v>14</v>
      </c>
      <c r="B412" s="6" t="s">
        <v>15</v>
      </c>
      <c r="C412" s="7">
        <v>45993</v>
      </c>
      <c r="D412" s="11">
        <v>558000</v>
      </c>
      <c r="E412" s="12">
        <f>MAX($D$261:D412)</f>
        <v>620000</v>
      </c>
      <c r="F412" s="8" t="b">
        <f t="shared" si="6"/>
        <v>0</v>
      </c>
    </row>
    <row r="413" spans="1:6" x14ac:dyDescent="0.3">
      <c r="A413" s="6" t="s">
        <v>14</v>
      </c>
      <c r="B413" s="6" t="s">
        <v>15</v>
      </c>
      <c r="C413" s="7">
        <v>45994</v>
      </c>
      <c r="D413" s="11">
        <v>552000</v>
      </c>
      <c r="E413" s="12">
        <f>MAX($D$261:D413)</f>
        <v>620000</v>
      </c>
      <c r="F413" s="8" t="b">
        <f t="shared" si="6"/>
        <v>0</v>
      </c>
    </row>
    <row r="414" spans="1:6" x14ac:dyDescent="0.3">
      <c r="A414" s="6" t="s">
        <v>14</v>
      </c>
      <c r="B414" s="6" t="s">
        <v>15</v>
      </c>
      <c r="C414" s="7">
        <v>45995</v>
      </c>
      <c r="D414" s="11">
        <v>542000</v>
      </c>
      <c r="E414" s="12">
        <f>MAX($D$261:D414)</f>
        <v>620000</v>
      </c>
      <c r="F414" s="8" t="b">
        <f t="shared" si="6"/>
        <v>0</v>
      </c>
    </row>
    <row r="415" spans="1:6" x14ac:dyDescent="0.3">
      <c r="A415" s="6" t="s">
        <v>14</v>
      </c>
      <c r="B415" s="6" t="s">
        <v>15</v>
      </c>
      <c r="C415" s="7">
        <v>45996</v>
      </c>
      <c r="D415" s="11">
        <v>544000</v>
      </c>
      <c r="E415" s="12">
        <f>MAX($D$261:D415)</f>
        <v>620000</v>
      </c>
      <c r="F415" s="8" t="b">
        <f t="shared" si="6"/>
        <v>0</v>
      </c>
    </row>
    <row r="416" spans="1:6" x14ac:dyDescent="0.3">
      <c r="A416" s="6" t="s">
        <v>14</v>
      </c>
      <c r="B416" s="6" t="s">
        <v>15</v>
      </c>
      <c r="C416" s="7">
        <v>45999</v>
      </c>
      <c r="D416" s="11">
        <v>577000</v>
      </c>
      <c r="E416" s="12">
        <f>MAX($D$261:D416)</f>
        <v>620000</v>
      </c>
      <c r="F416" s="8" t="b">
        <f t="shared" si="6"/>
        <v>0</v>
      </c>
    </row>
    <row r="417" spans="1:6" x14ac:dyDescent="0.3">
      <c r="A417" s="6" t="s">
        <v>14</v>
      </c>
      <c r="B417" s="6" t="s">
        <v>15</v>
      </c>
      <c r="C417" s="7">
        <v>46000</v>
      </c>
      <c r="D417" s="11">
        <v>566000</v>
      </c>
      <c r="E417" s="12">
        <f>MAX($D$261:D417)</f>
        <v>620000</v>
      </c>
      <c r="F417" s="8" t="b">
        <f t="shared" si="6"/>
        <v>0</v>
      </c>
    </row>
    <row r="418" spans="1:6" x14ac:dyDescent="0.3">
      <c r="A418" s="6" t="s">
        <v>14</v>
      </c>
      <c r="B418" s="6" t="s">
        <v>15</v>
      </c>
      <c r="C418" s="7">
        <v>46001</v>
      </c>
      <c r="D418" s="11">
        <v>587000</v>
      </c>
      <c r="E418" s="12">
        <f>MAX($D$261:D418)</f>
        <v>620000</v>
      </c>
      <c r="F418" s="8" t="b">
        <f t="shared" si="6"/>
        <v>0</v>
      </c>
    </row>
    <row r="419" spans="1:6" x14ac:dyDescent="0.3">
      <c r="A419" s="6" t="s">
        <v>14</v>
      </c>
      <c r="B419" s="6" t="s">
        <v>15</v>
      </c>
      <c r="C419" s="7">
        <v>46002</v>
      </c>
      <c r="D419" s="11">
        <v>565000</v>
      </c>
      <c r="E419" s="12">
        <f>MAX($D$261:D419)</f>
        <v>620000</v>
      </c>
      <c r="F419" s="8" t="b">
        <f t="shared" si="6"/>
        <v>0</v>
      </c>
    </row>
    <row r="420" spans="1:6" x14ac:dyDescent="0.3">
      <c r="A420" s="6" t="s">
        <v>14</v>
      </c>
      <c r="B420" s="6" t="s">
        <v>15</v>
      </c>
      <c r="C420" s="7">
        <v>46003</v>
      </c>
      <c r="D420" s="11">
        <v>571000</v>
      </c>
      <c r="E420" s="12">
        <f>MAX($D$261:D420)</f>
        <v>620000</v>
      </c>
      <c r="F420" s="8" t="b">
        <f t="shared" si="6"/>
        <v>0</v>
      </c>
    </row>
    <row r="421" spans="1:6" x14ac:dyDescent="0.3">
      <c r="A421" s="6" t="s">
        <v>14</v>
      </c>
      <c r="B421" s="6" t="s">
        <v>15</v>
      </c>
      <c r="C421" s="7">
        <v>46006</v>
      </c>
      <c r="D421" s="11">
        <v>554000</v>
      </c>
      <c r="E421" s="12">
        <f>MAX($D$261:D421)</f>
        <v>620000</v>
      </c>
      <c r="F421" s="8" t="b">
        <f t="shared" si="6"/>
        <v>0</v>
      </c>
    </row>
    <row r="422" spans="1:6" x14ac:dyDescent="0.3">
      <c r="A422" s="6" t="s">
        <v>14</v>
      </c>
      <c r="B422" s="6" t="s">
        <v>15</v>
      </c>
      <c r="C422" s="7">
        <v>46007</v>
      </c>
      <c r="D422" s="11">
        <v>530000</v>
      </c>
      <c r="E422" s="12">
        <f>MAX($D$261:D422)</f>
        <v>620000</v>
      </c>
      <c r="F422" s="8" t="b">
        <f t="shared" si="6"/>
        <v>0</v>
      </c>
    </row>
    <row r="423" spans="1:6" x14ac:dyDescent="0.3">
      <c r="A423" s="6" t="s">
        <v>14</v>
      </c>
      <c r="B423" s="6" t="s">
        <v>15</v>
      </c>
      <c r="C423" s="7">
        <v>46008</v>
      </c>
      <c r="D423" s="11">
        <v>551000</v>
      </c>
      <c r="E423" s="12">
        <f>MAX($D$261:D423)</f>
        <v>620000</v>
      </c>
      <c r="F423" s="8" t="b">
        <f t="shared" si="6"/>
        <v>0</v>
      </c>
    </row>
    <row r="424" spans="1:6" x14ac:dyDescent="0.3">
      <c r="A424" s="6" t="s">
        <v>14</v>
      </c>
      <c r="B424" s="6" t="s">
        <v>15</v>
      </c>
      <c r="C424" s="7">
        <v>46009</v>
      </c>
      <c r="D424" s="11">
        <v>552000</v>
      </c>
      <c r="E424" s="12">
        <f>MAX($D$261:D424)</f>
        <v>620000</v>
      </c>
      <c r="F424" s="8" t="b">
        <f t="shared" si="6"/>
        <v>0</v>
      </c>
    </row>
    <row r="425" spans="1:6" x14ac:dyDescent="0.3">
      <c r="A425" s="6" t="s">
        <v>14</v>
      </c>
      <c r="B425" s="6" t="s">
        <v>15</v>
      </c>
      <c r="C425" s="7">
        <v>46010</v>
      </c>
      <c r="D425" s="11">
        <v>547000</v>
      </c>
      <c r="E425" s="12">
        <f>MAX($D$261:D425)</f>
        <v>620000</v>
      </c>
      <c r="F425" s="8" t="b">
        <f t="shared" si="6"/>
        <v>0</v>
      </c>
    </row>
    <row r="426" spans="1:6" x14ac:dyDescent="0.3">
      <c r="A426" s="6" t="s">
        <v>14</v>
      </c>
      <c r="B426" s="6" t="s">
        <v>15</v>
      </c>
      <c r="C426" s="7">
        <v>46013</v>
      </c>
      <c r="D426" s="11">
        <v>580000</v>
      </c>
      <c r="E426" s="12">
        <f>MAX($D$261:D426)</f>
        <v>620000</v>
      </c>
      <c r="F426" s="8" t="b">
        <f t="shared" si="6"/>
        <v>0</v>
      </c>
    </row>
    <row r="427" spans="1:6" x14ac:dyDescent="0.3">
      <c r="A427" s="6" t="s">
        <v>14</v>
      </c>
      <c r="B427" s="6" t="s">
        <v>15</v>
      </c>
      <c r="C427" s="7">
        <v>46014</v>
      </c>
      <c r="D427" s="11">
        <v>584000</v>
      </c>
      <c r="E427" s="12">
        <f>MAX($D$261:D427)</f>
        <v>620000</v>
      </c>
      <c r="F427" s="8" t="b">
        <f t="shared" si="6"/>
        <v>0</v>
      </c>
    </row>
    <row r="428" spans="1:6" x14ac:dyDescent="0.3">
      <c r="A428" s="6" t="s">
        <v>14</v>
      </c>
      <c r="B428" s="6" t="s">
        <v>15</v>
      </c>
      <c r="C428" s="7">
        <v>46015</v>
      </c>
      <c r="D428" s="11">
        <v>588000</v>
      </c>
      <c r="E428" s="12">
        <f>MAX($D$261:D428)</f>
        <v>620000</v>
      </c>
      <c r="F428" s="8" t="b">
        <f t="shared" si="6"/>
        <v>0</v>
      </c>
    </row>
    <row r="429" spans="1:6" x14ac:dyDescent="0.3">
      <c r="A429" s="6" t="s">
        <v>14</v>
      </c>
      <c r="B429" s="6" t="s">
        <v>15</v>
      </c>
      <c r="C429" s="7">
        <v>46017</v>
      </c>
      <c r="D429" s="11">
        <v>599000</v>
      </c>
      <c r="E429" s="12">
        <f>MAX($D$261:D429)</f>
        <v>620000</v>
      </c>
      <c r="F429" s="8" t="b">
        <f t="shared" si="6"/>
        <v>0</v>
      </c>
    </row>
    <row r="430" spans="1:6" x14ac:dyDescent="0.3">
      <c r="A430" s="6" t="s">
        <v>14</v>
      </c>
      <c r="B430" s="6" t="s">
        <v>15</v>
      </c>
      <c r="C430" s="7">
        <v>46020</v>
      </c>
      <c r="D430" s="11">
        <v>640000</v>
      </c>
      <c r="E430" s="12">
        <f>MAX($D$261:D430)</f>
        <v>640000</v>
      </c>
      <c r="F430" s="8" t="b">
        <f t="shared" si="6"/>
        <v>0</v>
      </c>
    </row>
    <row r="431" spans="1:6" x14ac:dyDescent="0.3">
      <c r="A431" s="6" t="s">
        <v>14</v>
      </c>
      <c r="B431" s="6" t="s">
        <v>15</v>
      </c>
      <c r="C431" s="7">
        <v>46021</v>
      </c>
      <c r="D431" s="11">
        <v>651000</v>
      </c>
      <c r="E431" s="12">
        <f>MAX($D$261:D431)</f>
        <v>651000</v>
      </c>
      <c r="F431" s="8" t="b">
        <f t="shared" si="6"/>
        <v>0</v>
      </c>
    </row>
    <row r="432" spans="1:6" x14ac:dyDescent="0.3">
      <c r="A432" s="6" t="s">
        <v>14</v>
      </c>
      <c r="B432" s="6" t="s">
        <v>15</v>
      </c>
      <c r="C432" s="7">
        <v>46024</v>
      </c>
      <c r="D432" s="11">
        <v>677000</v>
      </c>
      <c r="E432" s="12">
        <f>MAX($D$261:D432)</f>
        <v>677000</v>
      </c>
      <c r="F432" s="8" t="b">
        <f t="shared" si="6"/>
        <v>0</v>
      </c>
    </row>
    <row r="433" spans="1:6" x14ac:dyDescent="0.3">
      <c r="A433" s="6" t="s">
        <v>14</v>
      </c>
      <c r="B433" s="6" t="s">
        <v>15</v>
      </c>
      <c r="C433" s="7">
        <v>46027</v>
      </c>
      <c r="D433" s="11">
        <v>696000</v>
      </c>
      <c r="E433" s="12">
        <f>MAX($D$261:D433)</f>
        <v>696000</v>
      </c>
      <c r="F433" s="8" t="b">
        <f t="shared" si="6"/>
        <v>0</v>
      </c>
    </row>
    <row r="434" spans="1:6" x14ac:dyDescent="0.3">
      <c r="A434" s="6" t="s">
        <v>14</v>
      </c>
      <c r="B434" s="6" t="s">
        <v>15</v>
      </c>
      <c r="C434" s="7">
        <v>46028</v>
      </c>
      <c r="D434" s="11">
        <v>726000</v>
      </c>
      <c r="E434" s="12">
        <f>MAX($D$261:D434)</f>
        <v>726000</v>
      </c>
      <c r="F434" s="8" t="b">
        <f t="shared" si="6"/>
        <v>0</v>
      </c>
    </row>
    <row r="435" spans="1:6" x14ac:dyDescent="0.3">
      <c r="A435" s="6" t="s">
        <v>14</v>
      </c>
      <c r="B435" s="6" t="s">
        <v>15</v>
      </c>
      <c r="C435" s="7">
        <v>46029</v>
      </c>
      <c r="D435" s="11">
        <v>742000</v>
      </c>
      <c r="E435" s="12">
        <f>MAX($D$261:D435)</f>
        <v>742000</v>
      </c>
      <c r="F435" s="8" t="b">
        <f t="shared" si="6"/>
        <v>0</v>
      </c>
    </row>
    <row r="436" spans="1:6" x14ac:dyDescent="0.3">
      <c r="A436" s="6" t="s">
        <v>14</v>
      </c>
      <c r="B436" s="6" t="s">
        <v>15</v>
      </c>
      <c r="C436" s="7">
        <v>46030</v>
      </c>
      <c r="D436" s="11">
        <v>756000</v>
      </c>
      <c r="E436" s="12">
        <f>MAX($D$261:D436)</f>
        <v>756000</v>
      </c>
      <c r="F436" s="8" t="b">
        <f t="shared" si="6"/>
        <v>0</v>
      </c>
    </row>
    <row r="437" spans="1:6" x14ac:dyDescent="0.3">
      <c r="A437" s="6" t="s">
        <v>14</v>
      </c>
      <c r="B437" s="6" t="s">
        <v>15</v>
      </c>
      <c r="C437" s="7">
        <v>46031</v>
      </c>
      <c r="D437" s="11">
        <v>744000</v>
      </c>
      <c r="E437" s="12">
        <f>MAX($D$261:D437)</f>
        <v>756000</v>
      </c>
      <c r="F437" s="8" t="b">
        <f t="shared" si="6"/>
        <v>0</v>
      </c>
    </row>
    <row r="438" spans="1:6" x14ac:dyDescent="0.3">
      <c r="A438" s="6" t="s">
        <v>14</v>
      </c>
      <c r="B438" s="6" t="s">
        <v>15</v>
      </c>
      <c r="C438" s="7">
        <v>46034</v>
      </c>
      <c r="D438" s="11">
        <v>749000</v>
      </c>
      <c r="E438" s="12">
        <f>MAX($D$261:D438)</f>
        <v>756000</v>
      </c>
      <c r="F438" s="8" t="b">
        <f t="shared" si="6"/>
        <v>0</v>
      </c>
    </row>
    <row r="439" spans="1:6" x14ac:dyDescent="0.3">
      <c r="A439" s="6" t="s">
        <v>14</v>
      </c>
      <c r="B439" s="6" t="s">
        <v>15</v>
      </c>
      <c r="C439" s="7">
        <v>46035</v>
      </c>
      <c r="D439" s="11">
        <v>738000</v>
      </c>
      <c r="E439" s="12">
        <f>MAX($D$261:D439)</f>
        <v>756000</v>
      </c>
      <c r="F439" s="8" t="b">
        <f t="shared" si="6"/>
        <v>0</v>
      </c>
    </row>
    <row r="440" spans="1:6" x14ac:dyDescent="0.3">
      <c r="A440" s="6" t="s">
        <v>14</v>
      </c>
      <c r="B440" s="6" t="s">
        <v>15</v>
      </c>
      <c r="C440" s="7">
        <v>46036</v>
      </c>
      <c r="D440" s="11">
        <v>742000</v>
      </c>
      <c r="E440" s="12">
        <f>MAX($D$261:D440)</f>
        <v>756000</v>
      </c>
      <c r="F440" s="8" t="b">
        <f t="shared" si="6"/>
        <v>0</v>
      </c>
    </row>
    <row r="441" spans="1:6" x14ac:dyDescent="0.3">
      <c r="A441" s="6" t="s">
        <v>14</v>
      </c>
      <c r="B441" s="6" t="s">
        <v>15</v>
      </c>
      <c r="C441" s="7">
        <v>46037</v>
      </c>
      <c r="D441" s="11">
        <v>749000</v>
      </c>
      <c r="E441" s="12">
        <f>MAX($D$261:D441)</f>
        <v>756000</v>
      </c>
      <c r="F441" s="8" t="b">
        <f t="shared" si="6"/>
        <v>0</v>
      </c>
    </row>
    <row r="442" spans="1:6" x14ac:dyDescent="0.3">
      <c r="A442" s="6" t="s">
        <v>14</v>
      </c>
      <c r="B442" s="6" t="s">
        <v>15</v>
      </c>
      <c r="C442" s="7">
        <v>46038</v>
      </c>
      <c r="D442" s="11">
        <v>756000</v>
      </c>
      <c r="E442" s="12">
        <f>MAX($D$261:D442)</f>
        <v>756000</v>
      </c>
      <c r="F442" s="8" t="b">
        <f t="shared" si="6"/>
        <v>0</v>
      </c>
    </row>
    <row r="443" spans="1:6" x14ac:dyDescent="0.3">
      <c r="A443" s="6" t="s">
        <v>14</v>
      </c>
      <c r="B443" s="6" t="s">
        <v>15</v>
      </c>
      <c r="C443" s="7">
        <v>46041</v>
      </c>
      <c r="D443" s="11">
        <v>764000</v>
      </c>
      <c r="E443" s="12">
        <f>MAX($D$261:D443)</f>
        <v>764000</v>
      </c>
      <c r="F443" s="8" t="b">
        <f t="shared" si="6"/>
        <v>0</v>
      </c>
    </row>
    <row r="444" spans="1:6" x14ac:dyDescent="0.3">
      <c r="A444" s="6" t="s">
        <v>14</v>
      </c>
      <c r="B444" s="6" t="s">
        <v>15</v>
      </c>
      <c r="C444" s="7">
        <v>46042</v>
      </c>
      <c r="D444" s="11">
        <v>743000</v>
      </c>
      <c r="E444" s="12">
        <f>MAX($D$261:D444)</f>
        <v>764000</v>
      </c>
      <c r="F444" s="8" t="b">
        <f t="shared" si="6"/>
        <v>0</v>
      </c>
    </row>
    <row r="445" spans="1:6" x14ac:dyDescent="0.3">
      <c r="A445" s="6" t="s">
        <v>14</v>
      </c>
      <c r="B445" s="6" t="s">
        <v>15</v>
      </c>
      <c r="C445" s="7">
        <v>46043</v>
      </c>
      <c r="D445" s="11">
        <v>740000</v>
      </c>
      <c r="E445" s="12">
        <f>MAX($D$261:D445)</f>
        <v>764000</v>
      </c>
      <c r="F445" s="8" t="b">
        <f t="shared" si="6"/>
        <v>0</v>
      </c>
    </row>
    <row r="446" spans="1:6" x14ac:dyDescent="0.3">
      <c r="A446" s="6" t="s">
        <v>14</v>
      </c>
      <c r="B446" s="6" t="s">
        <v>15</v>
      </c>
      <c r="C446" s="7">
        <v>46044</v>
      </c>
      <c r="D446" s="11">
        <v>755000</v>
      </c>
      <c r="E446" s="12">
        <f>MAX($D$261:D446)</f>
        <v>764000</v>
      </c>
      <c r="F446" s="8" t="b">
        <f t="shared" si="6"/>
        <v>0</v>
      </c>
    </row>
    <row r="447" spans="1:6" x14ac:dyDescent="0.3">
      <c r="A447" s="6" t="s">
        <v>14</v>
      </c>
      <c r="B447" s="6" t="s">
        <v>15</v>
      </c>
      <c r="C447" s="7">
        <v>46045</v>
      </c>
      <c r="D447" s="11">
        <v>767000</v>
      </c>
      <c r="E447" s="12">
        <f>MAX($D$261:D447)</f>
        <v>767000</v>
      </c>
      <c r="F447" s="8" t="b">
        <f t="shared" si="6"/>
        <v>0</v>
      </c>
    </row>
    <row r="448" spans="1:6" x14ac:dyDescent="0.3">
      <c r="A448" s="6" t="s">
        <v>14</v>
      </c>
      <c r="B448" s="6" t="s">
        <v>15</v>
      </c>
      <c r="C448" s="7">
        <v>46048</v>
      </c>
      <c r="D448" s="11">
        <v>736000</v>
      </c>
      <c r="E448" s="12">
        <f>MAX($D$261:D448)</f>
        <v>767000</v>
      </c>
      <c r="F448" s="8" t="b">
        <f t="shared" si="6"/>
        <v>0</v>
      </c>
    </row>
    <row r="449" spans="1:6" x14ac:dyDescent="0.3">
      <c r="A449" s="6" t="s">
        <v>14</v>
      </c>
      <c r="B449" s="6" t="s">
        <v>15</v>
      </c>
      <c r="C449" s="7">
        <v>46049</v>
      </c>
      <c r="D449" s="11">
        <v>800000</v>
      </c>
      <c r="E449" s="12">
        <f>MAX($D$261:D449)</f>
        <v>800000</v>
      </c>
      <c r="F449" s="8" t="b">
        <f t="shared" si="6"/>
        <v>0</v>
      </c>
    </row>
    <row r="450" spans="1:6" x14ac:dyDescent="0.3">
      <c r="A450" s="6" t="s">
        <v>14</v>
      </c>
      <c r="B450" s="6" t="s">
        <v>15</v>
      </c>
      <c r="C450" s="7">
        <v>46050</v>
      </c>
      <c r="D450" s="11">
        <v>841000</v>
      </c>
      <c r="E450" s="12">
        <f>MAX($D$261:D450)</f>
        <v>841000</v>
      </c>
      <c r="F450" s="8" t="b">
        <f t="shared" si="6"/>
        <v>0</v>
      </c>
    </row>
    <row r="451" spans="1:6" x14ac:dyDescent="0.3">
      <c r="A451" s="6" t="s">
        <v>14</v>
      </c>
      <c r="B451" s="6" t="s">
        <v>15</v>
      </c>
      <c r="C451" s="7">
        <v>46051</v>
      </c>
      <c r="D451" s="11">
        <v>861000</v>
      </c>
      <c r="E451" s="12">
        <f>MAX($D$261:D451)</f>
        <v>861000</v>
      </c>
      <c r="F451" s="8" t="b">
        <f t="shared" si="6"/>
        <v>0</v>
      </c>
    </row>
    <row r="452" spans="1:6" x14ac:dyDescent="0.3">
      <c r="A452" s="6" t="s">
        <v>14</v>
      </c>
      <c r="B452" s="6" t="s">
        <v>15</v>
      </c>
      <c r="C452" s="7">
        <v>46052</v>
      </c>
      <c r="D452" s="11">
        <v>909000</v>
      </c>
      <c r="E452" s="12">
        <f>MAX($D$261:D452)</f>
        <v>909000</v>
      </c>
      <c r="F452" s="8" t="b">
        <f t="shared" si="6"/>
        <v>0</v>
      </c>
    </row>
    <row r="453" spans="1:6" x14ac:dyDescent="0.3">
      <c r="A453" s="6" t="s">
        <v>14</v>
      </c>
      <c r="B453" s="6" t="s">
        <v>15</v>
      </c>
      <c r="C453" s="7">
        <v>46055</v>
      </c>
      <c r="D453" s="11">
        <v>830000</v>
      </c>
      <c r="E453" s="12">
        <f>MAX($D$261:D453)</f>
        <v>909000</v>
      </c>
      <c r="F453" s="8" t="b">
        <f t="shared" ref="F453:F512" si="7">D453=MAX($D$261:$D$512)</f>
        <v>0</v>
      </c>
    </row>
    <row r="454" spans="1:6" x14ac:dyDescent="0.3">
      <c r="A454" s="6" t="s">
        <v>14</v>
      </c>
      <c r="B454" s="6" t="s">
        <v>15</v>
      </c>
      <c r="C454" s="7">
        <v>46056</v>
      </c>
      <c r="D454" s="11">
        <v>907000</v>
      </c>
      <c r="E454" s="12">
        <f>MAX($D$261:D454)</f>
        <v>909000</v>
      </c>
      <c r="F454" s="8" t="b">
        <f t="shared" si="7"/>
        <v>0</v>
      </c>
    </row>
    <row r="455" spans="1:6" x14ac:dyDescent="0.3">
      <c r="A455" s="6" t="s">
        <v>14</v>
      </c>
      <c r="B455" s="6" t="s">
        <v>15</v>
      </c>
      <c r="C455" s="7">
        <v>46057</v>
      </c>
      <c r="D455" s="11">
        <v>900000</v>
      </c>
      <c r="E455" s="12">
        <f>MAX($D$261:D455)</f>
        <v>909000</v>
      </c>
      <c r="F455" s="8" t="b">
        <f t="shared" si="7"/>
        <v>0</v>
      </c>
    </row>
    <row r="456" spans="1:6" x14ac:dyDescent="0.3">
      <c r="A456" s="6" t="s">
        <v>14</v>
      </c>
      <c r="B456" s="6" t="s">
        <v>15</v>
      </c>
      <c r="C456" s="7">
        <v>46058</v>
      </c>
      <c r="D456" s="11">
        <v>842000</v>
      </c>
      <c r="E456" s="12">
        <f>MAX($D$261:D456)</f>
        <v>909000</v>
      </c>
      <c r="F456" s="8" t="b">
        <f t="shared" si="7"/>
        <v>0</v>
      </c>
    </row>
    <row r="457" spans="1:6" x14ac:dyDescent="0.3">
      <c r="A457" s="6" t="s">
        <v>14</v>
      </c>
      <c r="B457" s="6" t="s">
        <v>15</v>
      </c>
      <c r="C457" s="7">
        <v>46059</v>
      </c>
      <c r="D457" s="11">
        <v>839000</v>
      </c>
      <c r="E457" s="12">
        <f>MAX($D$261:D457)</f>
        <v>909000</v>
      </c>
      <c r="F457" s="8" t="b">
        <f t="shared" si="7"/>
        <v>0</v>
      </c>
    </row>
    <row r="458" spans="1:6" x14ac:dyDescent="0.3">
      <c r="A458" s="6" t="s">
        <v>14</v>
      </c>
      <c r="B458" s="6" t="s">
        <v>15</v>
      </c>
      <c r="C458" s="7">
        <v>46062</v>
      </c>
      <c r="D458" s="11">
        <v>887000</v>
      </c>
      <c r="E458" s="12">
        <f>MAX($D$261:D458)</f>
        <v>909000</v>
      </c>
      <c r="F458" s="8" t="b">
        <f t="shared" si="7"/>
        <v>0</v>
      </c>
    </row>
    <row r="459" spans="1:6" x14ac:dyDescent="0.3">
      <c r="A459" s="6" t="s">
        <v>14</v>
      </c>
      <c r="B459" s="6" t="s">
        <v>15</v>
      </c>
      <c r="C459" s="7">
        <v>46063</v>
      </c>
      <c r="D459" s="11">
        <v>876000</v>
      </c>
      <c r="E459" s="12">
        <f>MAX($D$261:D459)</f>
        <v>909000</v>
      </c>
      <c r="F459" s="8" t="b">
        <f t="shared" si="7"/>
        <v>0</v>
      </c>
    </row>
    <row r="460" spans="1:6" x14ac:dyDescent="0.3">
      <c r="A460" s="6" t="s">
        <v>14</v>
      </c>
      <c r="B460" s="6" t="s">
        <v>15</v>
      </c>
      <c r="C460" s="7">
        <v>46064</v>
      </c>
      <c r="D460" s="11">
        <v>860000</v>
      </c>
      <c r="E460" s="12">
        <f>MAX($D$261:D460)</f>
        <v>909000</v>
      </c>
      <c r="F460" s="8" t="b">
        <f t="shared" si="7"/>
        <v>0</v>
      </c>
    </row>
    <row r="461" spans="1:6" x14ac:dyDescent="0.3">
      <c r="A461" s="6" t="s">
        <v>14</v>
      </c>
      <c r="B461" s="6" t="s">
        <v>15</v>
      </c>
      <c r="C461" s="7">
        <v>46065</v>
      </c>
      <c r="D461" s="11">
        <v>888000</v>
      </c>
      <c r="E461" s="12">
        <f>MAX($D$261:D461)</f>
        <v>909000</v>
      </c>
      <c r="F461" s="8" t="b">
        <f t="shared" si="7"/>
        <v>0</v>
      </c>
    </row>
    <row r="462" spans="1:6" x14ac:dyDescent="0.3">
      <c r="A462" s="6" t="s">
        <v>14</v>
      </c>
      <c r="B462" s="6" t="s">
        <v>15</v>
      </c>
      <c r="C462" s="7">
        <v>46066</v>
      </c>
      <c r="D462" s="11">
        <v>880000</v>
      </c>
      <c r="E462" s="12">
        <f>MAX($D$261:D462)</f>
        <v>909000</v>
      </c>
      <c r="F462" s="8" t="b">
        <f t="shared" si="7"/>
        <v>0</v>
      </c>
    </row>
    <row r="463" spans="1:6" x14ac:dyDescent="0.3">
      <c r="A463" s="6" t="s">
        <v>14</v>
      </c>
      <c r="B463" s="6" t="s">
        <v>15</v>
      </c>
      <c r="C463" s="7">
        <v>46072</v>
      </c>
      <c r="D463" s="11">
        <v>894000</v>
      </c>
      <c r="E463" s="12">
        <f>MAX($D$261:D463)</f>
        <v>909000</v>
      </c>
      <c r="F463" s="8" t="b">
        <f t="shared" si="7"/>
        <v>0</v>
      </c>
    </row>
    <row r="464" spans="1:6" x14ac:dyDescent="0.3">
      <c r="A464" s="6" t="s">
        <v>14</v>
      </c>
      <c r="B464" s="6" t="s">
        <v>15</v>
      </c>
      <c r="C464" s="7">
        <v>46073</v>
      </c>
      <c r="D464" s="11">
        <v>949000</v>
      </c>
      <c r="E464" s="12">
        <f>MAX($D$261:D464)</f>
        <v>949000</v>
      </c>
      <c r="F464" s="8" t="b">
        <f t="shared" si="7"/>
        <v>0</v>
      </c>
    </row>
    <row r="465" spans="1:6" x14ac:dyDescent="0.3">
      <c r="A465" s="6" t="s">
        <v>14</v>
      </c>
      <c r="B465" s="6" t="s">
        <v>15</v>
      </c>
      <c r="C465" s="7">
        <v>46076</v>
      </c>
      <c r="D465" s="11">
        <v>951000</v>
      </c>
      <c r="E465" s="12">
        <f>MAX($D$261:D465)</f>
        <v>951000</v>
      </c>
      <c r="F465" s="8" t="b">
        <f t="shared" si="7"/>
        <v>0</v>
      </c>
    </row>
    <row r="466" spans="1:6" x14ac:dyDescent="0.3">
      <c r="A466" s="6" t="s">
        <v>14</v>
      </c>
      <c r="B466" s="6" t="s">
        <v>15</v>
      </c>
      <c r="C466" s="7">
        <v>46077</v>
      </c>
      <c r="D466" s="11">
        <v>1005000</v>
      </c>
      <c r="E466" s="12">
        <f>MAX($D$261:D466)</f>
        <v>1005000</v>
      </c>
      <c r="F466" s="8" t="b">
        <f t="shared" si="7"/>
        <v>0</v>
      </c>
    </row>
    <row r="467" spans="1:6" x14ac:dyDescent="0.3">
      <c r="A467" s="6" t="s">
        <v>14</v>
      </c>
      <c r="B467" s="6" t="s">
        <v>15</v>
      </c>
      <c r="C467" s="7">
        <v>46078</v>
      </c>
      <c r="D467" s="11">
        <v>1018000</v>
      </c>
      <c r="E467" s="12">
        <f>MAX($D$261:D467)</f>
        <v>1018000</v>
      </c>
      <c r="F467" s="8" t="b">
        <f t="shared" si="7"/>
        <v>0</v>
      </c>
    </row>
    <row r="468" spans="1:6" x14ac:dyDescent="0.3">
      <c r="A468" s="6" t="s">
        <v>14</v>
      </c>
      <c r="B468" s="6" t="s">
        <v>15</v>
      </c>
      <c r="C468" s="7">
        <v>46079</v>
      </c>
      <c r="D468" s="11">
        <v>1099000</v>
      </c>
      <c r="E468" s="12">
        <f>MAX($D$261:D468)</f>
        <v>1099000</v>
      </c>
      <c r="F468" s="8" t="b">
        <f t="shared" si="7"/>
        <v>0</v>
      </c>
    </row>
    <row r="469" spans="1:6" x14ac:dyDescent="0.3">
      <c r="A469" s="6" t="s">
        <v>14</v>
      </c>
      <c r="B469" s="6" t="s">
        <v>15</v>
      </c>
      <c r="C469" s="7">
        <v>46080</v>
      </c>
      <c r="D469" s="11">
        <v>1061000</v>
      </c>
      <c r="E469" s="12">
        <f>MAX($D$261:D469)</f>
        <v>1099000</v>
      </c>
      <c r="F469" s="8" t="b">
        <f t="shared" si="7"/>
        <v>0</v>
      </c>
    </row>
    <row r="470" spans="1:6" x14ac:dyDescent="0.3">
      <c r="A470" s="6" t="s">
        <v>14</v>
      </c>
      <c r="B470" s="6" t="s">
        <v>15</v>
      </c>
      <c r="C470" s="7">
        <v>46084</v>
      </c>
      <c r="D470" s="11">
        <v>939000</v>
      </c>
      <c r="E470" s="12">
        <f>MAX($D$261:D470)</f>
        <v>1099000</v>
      </c>
      <c r="F470" s="8" t="b">
        <f t="shared" si="7"/>
        <v>0</v>
      </c>
    </row>
    <row r="471" spans="1:6" x14ac:dyDescent="0.3">
      <c r="A471" s="6" t="s">
        <v>14</v>
      </c>
      <c r="B471" s="6" t="s">
        <v>15</v>
      </c>
      <c r="C471" s="7">
        <v>46085</v>
      </c>
      <c r="D471" s="11">
        <v>849000</v>
      </c>
      <c r="E471" s="12">
        <f>MAX($D$261:D471)</f>
        <v>1099000</v>
      </c>
      <c r="F471" s="8" t="b">
        <f t="shared" si="7"/>
        <v>0</v>
      </c>
    </row>
    <row r="472" spans="1:6" x14ac:dyDescent="0.3">
      <c r="A472" s="6" t="s">
        <v>14</v>
      </c>
      <c r="B472" s="6" t="s">
        <v>15</v>
      </c>
      <c r="C472" s="7">
        <v>46086</v>
      </c>
      <c r="D472" s="11">
        <v>941000</v>
      </c>
      <c r="E472" s="12">
        <f>MAX($D$261:D472)</f>
        <v>1099000</v>
      </c>
      <c r="F472" s="8" t="b">
        <f t="shared" si="7"/>
        <v>0</v>
      </c>
    </row>
    <row r="473" spans="1:6" x14ac:dyDescent="0.3">
      <c r="A473" s="6" t="s">
        <v>14</v>
      </c>
      <c r="B473" s="6" t="s">
        <v>15</v>
      </c>
      <c r="C473" s="7">
        <v>46087</v>
      </c>
      <c r="D473" s="11">
        <v>924000</v>
      </c>
      <c r="E473" s="12">
        <f>MAX($D$261:D473)</f>
        <v>1099000</v>
      </c>
      <c r="F473" s="8" t="b">
        <f t="shared" si="7"/>
        <v>0</v>
      </c>
    </row>
    <row r="474" spans="1:6" x14ac:dyDescent="0.3">
      <c r="A474" s="6" t="s">
        <v>14</v>
      </c>
      <c r="B474" s="6" t="s">
        <v>15</v>
      </c>
      <c r="C474" s="7">
        <v>46090</v>
      </c>
      <c r="D474" s="11">
        <v>836000</v>
      </c>
      <c r="E474" s="12">
        <f>MAX($D$261:D474)</f>
        <v>1099000</v>
      </c>
      <c r="F474" s="8" t="b">
        <f t="shared" si="7"/>
        <v>0</v>
      </c>
    </row>
    <row r="475" spans="1:6" x14ac:dyDescent="0.3">
      <c r="A475" s="6" t="s">
        <v>14</v>
      </c>
      <c r="B475" s="6" t="s">
        <v>15</v>
      </c>
      <c r="C475" s="7">
        <v>46091</v>
      </c>
      <c r="D475" s="11">
        <v>938000</v>
      </c>
      <c r="E475" s="12">
        <f>MAX($D$261:D475)</f>
        <v>1099000</v>
      </c>
      <c r="F475" s="8" t="b">
        <f t="shared" si="7"/>
        <v>0</v>
      </c>
    </row>
    <row r="476" spans="1:6" x14ac:dyDescent="0.3">
      <c r="A476" s="6" t="s">
        <v>14</v>
      </c>
      <c r="B476" s="6" t="s">
        <v>15</v>
      </c>
      <c r="C476" s="7">
        <v>46092</v>
      </c>
      <c r="D476" s="11">
        <v>955000</v>
      </c>
      <c r="E476" s="12">
        <f>MAX($D$261:D476)</f>
        <v>1099000</v>
      </c>
      <c r="F476" s="8" t="b">
        <f t="shared" si="7"/>
        <v>0</v>
      </c>
    </row>
    <row r="477" spans="1:6" x14ac:dyDescent="0.3">
      <c r="A477" s="6" t="s">
        <v>14</v>
      </c>
      <c r="B477" s="6" t="s">
        <v>15</v>
      </c>
      <c r="C477" s="7">
        <v>46093</v>
      </c>
      <c r="D477" s="11">
        <v>930000</v>
      </c>
      <c r="E477" s="12">
        <f>MAX($D$261:D477)</f>
        <v>1099000</v>
      </c>
      <c r="F477" s="8" t="b">
        <f t="shared" si="7"/>
        <v>0</v>
      </c>
    </row>
    <row r="478" spans="1:6" x14ac:dyDescent="0.3">
      <c r="A478" s="6" t="s">
        <v>14</v>
      </c>
      <c r="B478" s="6" t="s">
        <v>15</v>
      </c>
      <c r="C478" s="7">
        <v>46094</v>
      </c>
      <c r="D478" s="11">
        <v>910000</v>
      </c>
      <c r="E478" s="12">
        <f>MAX($D$261:D478)</f>
        <v>1099000</v>
      </c>
      <c r="F478" s="8" t="b">
        <f t="shared" si="7"/>
        <v>0</v>
      </c>
    </row>
    <row r="479" spans="1:6" x14ac:dyDescent="0.3">
      <c r="A479" s="6" t="s">
        <v>14</v>
      </c>
      <c r="B479" s="6" t="s">
        <v>15</v>
      </c>
      <c r="C479" s="7">
        <v>46097</v>
      </c>
      <c r="D479" s="11">
        <v>974000</v>
      </c>
      <c r="E479" s="12">
        <f>MAX($D$261:D479)</f>
        <v>1099000</v>
      </c>
      <c r="F479" s="8" t="b">
        <f t="shared" si="7"/>
        <v>0</v>
      </c>
    </row>
    <row r="480" spans="1:6" x14ac:dyDescent="0.3">
      <c r="A480" s="6" t="s">
        <v>14</v>
      </c>
      <c r="B480" s="6" t="s">
        <v>15</v>
      </c>
      <c r="C480" s="7">
        <v>46098</v>
      </c>
      <c r="D480" s="11">
        <v>970000</v>
      </c>
      <c r="E480" s="12">
        <f>MAX($D$261:D480)</f>
        <v>1099000</v>
      </c>
      <c r="F480" s="8" t="b">
        <f t="shared" si="7"/>
        <v>0</v>
      </c>
    </row>
    <row r="481" spans="1:6" x14ac:dyDescent="0.3">
      <c r="A481" s="6" t="s">
        <v>14</v>
      </c>
      <c r="B481" s="6" t="s">
        <v>15</v>
      </c>
      <c r="C481" s="7">
        <v>46099</v>
      </c>
      <c r="D481" s="11">
        <v>1056000</v>
      </c>
      <c r="E481" s="12">
        <f>MAX($D$261:D481)</f>
        <v>1099000</v>
      </c>
      <c r="F481" s="8" t="b">
        <f t="shared" si="7"/>
        <v>0</v>
      </c>
    </row>
    <row r="482" spans="1:6" x14ac:dyDescent="0.3">
      <c r="A482" s="6" t="s">
        <v>14</v>
      </c>
      <c r="B482" s="6" t="s">
        <v>15</v>
      </c>
      <c r="C482" s="7">
        <v>46100</v>
      </c>
      <c r="D482" s="11">
        <v>1013000</v>
      </c>
      <c r="E482" s="12">
        <f>MAX($D$261:D482)</f>
        <v>1099000</v>
      </c>
      <c r="F482" s="8" t="b">
        <f t="shared" si="7"/>
        <v>0</v>
      </c>
    </row>
    <row r="483" spans="1:6" x14ac:dyDescent="0.3">
      <c r="A483" s="6" t="s">
        <v>14</v>
      </c>
      <c r="B483" s="6" t="s">
        <v>15</v>
      </c>
      <c r="C483" s="7">
        <v>46101</v>
      </c>
      <c r="D483" s="11">
        <v>1007000</v>
      </c>
      <c r="E483" s="12">
        <f>MAX($D$261:D483)</f>
        <v>1099000</v>
      </c>
      <c r="F483" s="8" t="b">
        <f t="shared" si="7"/>
        <v>0</v>
      </c>
    </row>
    <row r="484" spans="1:6" x14ac:dyDescent="0.3">
      <c r="A484" s="6" t="s">
        <v>14</v>
      </c>
      <c r="B484" s="6" t="s">
        <v>15</v>
      </c>
      <c r="C484" s="7">
        <v>46104</v>
      </c>
      <c r="D484" s="11">
        <v>933000</v>
      </c>
      <c r="E484" s="12">
        <f>MAX($D$261:D484)</f>
        <v>1099000</v>
      </c>
      <c r="F484" s="8" t="b">
        <f t="shared" si="7"/>
        <v>0</v>
      </c>
    </row>
    <row r="485" spans="1:6" x14ac:dyDescent="0.3">
      <c r="A485" s="6" t="s">
        <v>14</v>
      </c>
      <c r="B485" s="6" t="s">
        <v>15</v>
      </c>
      <c r="C485" s="7">
        <v>46105</v>
      </c>
      <c r="D485" s="11">
        <v>986000</v>
      </c>
      <c r="E485" s="12">
        <f>MAX($D$261:D485)</f>
        <v>1099000</v>
      </c>
      <c r="F485" s="8" t="b">
        <f t="shared" si="7"/>
        <v>0</v>
      </c>
    </row>
    <row r="486" spans="1:6" x14ac:dyDescent="0.3">
      <c r="A486" s="6" t="s">
        <v>14</v>
      </c>
      <c r="B486" s="6" t="s">
        <v>15</v>
      </c>
      <c r="C486" s="7">
        <v>46106</v>
      </c>
      <c r="D486" s="11">
        <v>995000</v>
      </c>
      <c r="E486" s="12">
        <f>MAX($D$261:D486)</f>
        <v>1099000</v>
      </c>
      <c r="F486" s="8" t="b">
        <f t="shared" si="7"/>
        <v>0</v>
      </c>
    </row>
    <row r="487" spans="1:6" x14ac:dyDescent="0.3">
      <c r="A487" s="6" t="s">
        <v>14</v>
      </c>
      <c r="B487" s="6" t="s">
        <v>15</v>
      </c>
      <c r="C487" s="7">
        <v>46107</v>
      </c>
      <c r="D487" s="11">
        <v>933000</v>
      </c>
      <c r="E487" s="12">
        <f>MAX($D$261:D487)</f>
        <v>1099000</v>
      </c>
      <c r="F487" s="8" t="b">
        <f t="shared" si="7"/>
        <v>0</v>
      </c>
    </row>
    <row r="488" spans="1:6" x14ac:dyDescent="0.3">
      <c r="A488" s="6" t="s">
        <v>14</v>
      </c>
      <c r="B488" s="6" t="s">
        <v>15</v>
      </c>
      <c r="C488" s="7">
        <v>46108</v>
      </c>
      <c r="D488" s="11">
        <v>922000</v>
      </c>
      <c r="E488" s="12">
        <f>MAX($D$261:D488)</f>
        <v>1099000</v>
      </c>
      <c r="F488" s="8" t="b">
        <f t="shared" si="7"/>
        <v>0</v>
      </c>
    </row>
    <row r="489" spans="1:6" x14ac:dyDescent="0.3">
      <c r="A489" s="6" t="s">
        <v>14</v>
      </c>
      <c r="B489" s="6" t="s">
        <v>15</v>
      </c>
      <c r="C489" s="7">
        <v>46111</v>
      </c>
      <c r="D489" s="11">
        <v>873000</v>
      </c>
      <c r="E489" s="12">
        <f>MAX($D$261:D489)</f>
        <v>1099000</v>
      </c>
      <c r="F489" s="8" t="b">
        <f t="shared" si="7"/>
        <v>0</v>
      </c>
    </row>
    <row r="490" spans="1:6" x14ac:dyDescent="0.3">
      <c r="A490" s="6" t="s">
        <v>14</v>
      </c>
      <c r="B490" s="6" t="s">
        <v>15</v>
      </c>
      <c r="C490" s="7">
        <v>46112</v>
      </c>
      <c r="D490" s="11">
        <v>807000</v>
      </c>
      <c r="E490" s="12">
        <f>MAX($D$261:D490)</f>
        <v>1099000</v>
      </c>
      <c r="F490" s="8" t="b">
        <f t="shared" si="7"/>
        <v>0</v>
      </c>
    </row>
    <row r="491" spans="1:6" x14ac:dyDescent="0.3">
      <c r="A491" s="6" t="s">
        <v>14</v>
      </c>
      <c r="B491" s="6" t="s">
        <v>15</v>
      </c>
      <c r="C491" s="7">
        <v>46113</v>
      </c>
      <c r="D491" s="11">
        <v>893000</v>
      </c>
      <c r="E491" s="12">
        <f>MAX($D$261:D491)</f>
        <v>1099000</v>
      </c>
      <c r="F491" s="8" t="b">
        <f t="shared" si="7"/>
        <v>0</v>
      </c>
    </row>
    <row r="492" spans="1:6" x14ac:dyDescent="0.3">
      <c r="A492" s="6" t="s">
        <v>14</v>
      </c>
      <c r="B492" s="6" t="s">
        <v>15</v>
      </c>
      <c r="C492" s="7">
        <v>46114</v>
      </c>
      <c r="D492" s="11">
        <v>830000</v>
      </c>
      <c r="E492" s="12">
        <f>MAX($D$261:D492)</f>
        <v>1099000</v>
      </c>
      <c r="F492" s="8" t="b">
        <f t="shared" si="7"/>
        <v>0</v>
      </c>
    </row>
    <row r="493" spans="1:6" x14ac:dyDescent="0.3">
      <c r="A493" s="6" t="s">
        <v>14</v>
      </c>
      <c r="B493" s="6" t="s">
        <v>15</v>
      </c>
      <c r="C493" s="7">
        <v>46115</v>
      </c>
      <c r="D493" s="11">
        <v>876000</v>
      </c>
      <c r="E493" s="12">
        <f>MAX($D$261:D493)</f>
        <v>1099000</v>
      </c>
      <c r="F493" s="8" t="b">
        <f t="shared" si="7"/>
        <v>0</v>
      </c>
    </row>
    <row r="494" spans="1:6" x14ac:dyDescent="0.3">
      <c r="A494" s="6" t="s">
        <v>14</v>
      </c>
      <c r="B494" s="6" t="s">
        <v>15</v>
      </c>
      <c r="C494" s="7">
        <v>46118</v>
      </c>
      <c r="D494" s="11">
        <v>886000</v>
      </c>
      <c r="E494" s="12">
        <f>MAX($D$261:D494)</f>
        <v>1099000</v>
      </c>
      <c r="F494" s="8" t="b">
        <f t="shared" si="7"/>
        <v>0</v>
      </c>
    </row>
    <row r="495" spans="1:6" x14ac:dyDescent="0.3">
      <c r="A495" s="6" t="s">
        <v>14</v>
      </c>
      <c r="B495" s="6" t="s">
        <v>15</v>
      </c>
      <c r="C495" s="7">
        <v>46119</v>
      </c>
      <c r="D495" s="11">
        <v>916000</v>
      </c>
      <c r="E495" s="12">
        <f>MAX($D$261:D495)</f>
        <v>1099000</v>
      </c>
      <c r="F495" s="8" t="b">
        <f t="shared" si="7"/>
        <v>0</v>
      </c>
    </row>
    <row r="496" spans="1:6" x14ac:dyDescent="0.3">
      <c r="A496" s="6" t="s">
        <v>14</v>
      </c>
      <c r="B496" s="6" t="s">
        <v>15</v>
      </c>
      <c r="C496" s="7">
        <v>46120</v>
      </c>
      <c r="D496" s="11">
        <v>1033000</v>
      </c>
      <c r="E496" s="12">
        <f>MAX($D$261:D496)</f>
        <v>1099000</v>
      </c>
      <c r="F496" s="8" t="b">
        <f t="shared" si="7"/>
        <v>0</v>
      </c>
    </row>
    <row r="497" spans="1:7" x14ac:dyDescent="0.3">
      <c r="A497" s="6" t="s">
        <v>14</v>
      </c>
      <c r="B497" s="6" t="s">
        <v>15</v>
      </c>
      <c r="C497" s="7">
        <v>46121</v>
      </c>
      <c r="D497" s="11">
        <v>998000</v>
      </c>
      <c r="E497" s="12">
        <f>MAX($D$261:D497)</f>
        <v>1099000</v>
      </c>
      <c r="F497" s="8" t="b">
        <f t="shared" si="7"/>
        <v>0</v>
      </c>
    </row>
    <row r="498" spans="1:7" x14ac:dyDescent="0.3">
      <c r="A498" s="6" t="s">
        <v>14</v>
      </c>
      <c r="B498" s="6" t="s">
        <v>15</v>
      </c>
      <c r="C498" s="7">
        <v>46122</v>
      </c>
      <c r="D498" s="11">
        <v>1027000</v>
      </c>
      <c r="E498" s="12">
        <f>MAX($D$261:D498)</f>
        <v>1099000</v>
      </c>
      <c r="F498" s="8" t="b">
        <f t="shared" si="7"/>
        <v>0</v>
      </c>
    </row>
    <row r="499" spans="1:7" x14ac:dyDescent="0.3">
      <c r="A499" s="6" t="s">
        <v>14</v>
      </c>
      <c r="B499" s="6" t="s">
        <v>15</v>
      </c>
      <c r="C499" s="7">
        <v>46125</v>
      </c>
      <c r="D499" s="11">
        <v>1040000</v>
      </c>
      <c r="E499" s="12">
        <f>MAX($D$261:D499)</f>
        <v>1099000</v>
      </c>
      <c r="F499" s="8" t="b">
        <f t="shared" si="7"/>
        <v>0</v>
      </c>
    </row>
    <row r="500" spans="1:7" x14ac:dyDescent="0.3">
      <c r="A500" s="6" t="s">
        <v>14</v>
      </c>
      <c r="B500" s="6" t="s">
        <v>15</v>
      </c>
      <c r="C500" s="7">
        <v>46126</v>
      </c>
      <c r="D500" s="11">
        <v>1103000</v>
      </c>
      <c r="E500" s="12">
        <f>MAX($D$261:D500)</f>
        <v>1103000</v>
      </c>
      <c r="F500" s="8" t="b">
        <f t="shared" si="7"/>
        <v>0</v>
      </c>
    </row>
    <row r="501" spans="1:7" x14ac:dyDescent="0.3">
      <c r="A501" s="6" t="s">
        <v>14</v>
      </c>
      <c r="B501" s="6" t="s">
        <v>15</v>
      </c>
      <c r="C501" s="7">
        <v>46127</v>
      </c>
      <c r="D501" s="11">
        <v>1136000</v>
      </c>
      <c r="E501" s="12">
        <f>MAX($D$261:D501)</f>
        <v>1136000</v>
      </c>
      <c r="F501" s="8" t="b">
        <f t="shared" si="7"/>
        <v>0</v>
      </c>
    </row>
    <row r="502" spans="1:7" x14ac:dyDescent="0.3">
      <c r="A502" s="6" t="s">
        <v>14</v>
      </c>
      <c r="B502" s="6" t="s">
        <v>15</v>
      </c>
      <c r="C502" s="7">
        <v>46128</v>
      </c>
      <c r="D502" s="11">
        <v>1155000</v>
      </c>
      <c r="E502" s="12">
        <f>MAX($D$261:D502)</f>
        <v>1155000</v>
      </c>
      <c r="F502" s="8" t="b">
        <f t="shared" si="7"/>
        <v>0</v>
      </c>
    </row>
    <row r="503" spans="1:7" x14ac:dyDescent="0.3">
      <c r="A503" s="6" t="s">
        <v>14</v>
      </c>
      <c r="B503" s="6" t="s">
        <v>15</v>
      </c>
      <c r="C503" s="7">
        <v>46129</v>
      </c>
      <c r="D503" s="11">
        <v>1128000</v>
      </c>
      <c r="E503" s="12">
        <f>MAX($D$261:D503)</f>
        <v>1155000</v>
      </c>
      <c r="F503" s="8" t="b">
        <f t="shared" si="7"/>
        <v>0</v>
      </c>
    </row>
    <row r="504" spans="1:7" x14ac:dyDescent="0.3">
      <c r="A504" s="6" t="s">
        <v>14</v>
      </c>
      <c r="B504" s="6" t="s">
        <v>15</v>
      </c>
      <c r="C504" s="7">
        <v>46132</v>
      </c>
      <c r="D504" s="11">
        <v>1166000</v>
      </c>
      <c r="E504" s="12">
        <f>MAX($D$261:D504)</f>
        <v>1166000</v>
      </c>
      <c r="F504" s="8" t="b">
        <f t="shared" si="7"/>
        <v>0</v>
      </c>
    </row>
    <row r="505" spans="1:7" x14ac:dyDescent="0.3">
      <c r="A505" s="6" t="s">
        <v>14</v>
      </c>
      <c r="B505" s="6" t="s">
        <v>15</v>
      </c>
      <c r="C505" s="7">
        <v>46133</v>
      </c>
      <c r="D505" s="11">
        <v>1224000</v>
      </c>
      <c r="E505" s="12">
        <f>MAX($D$261:D505)</f>
        <v>1224000</v>
      </c>
      <c r="F505" s="8" t="b">
        <f t="shared" si="7"/>
        <v>0</v>
      </c>
    </row>
    <row r="506" spans="1:7" x14ac:dyDescent="0.3">
      <c r="A506" s="6" t="s">
        <v>14</v>
      </c>
      <c r="B506" s="6" t="s">
        <v>15</v>
      </c>
      <c r="C506" s="7">
        <v>46134</v>
      </c>
      <c r="D506" s="11">
        <v>1223000</v>
      </c>
      <c r="E506" s="12">
        <f>MAX($D$261:D506)</f>
        <v>1224000</v>
      </c>
      <c r="F506" s="8" t="b">
        <f t="shared" si="7"/>
        <v>0</v>
      </c>
    </row>
    <row r="507" spans="1:7" x14ac:dyDescent="0.3">
      <c r="A507" s="6" t="s">
        <v>14</v>
      </c>
      <c r="B507" s="6" t="s">
        <v>15</v>
      </c>
      <c r="C507" s="7">
        <v>46135</v>
      </c>
      <c r="D507" s="11">
        <v>1225000</v>
      </c>
      <c r="E507" s="12">
        <f>MAX($D$261:D507)</f>
        <v>1225000</v>
      </c>
      <c r="F507" s="8" t="b">
        <f t="shared" si="7"/>
        <v>0</v>
      </c>
    </row>
    <row r="508" spans="1:7" x14ac:dyDescent="0.3">
      <c r="A508" s="6" t="s">
        <v>14</v>
      </c>
      <c r="B508" s="6" t="s">
        <v>15</v>
      </c>
      <c r="C508" s="7">
        <v>46136</v>
      </c>
      <c r="D508" s="11">
        <v>1222000</v>
      </c>
      <c r="E508" s="12">
        <f>MAX($D$261:D508)</f>
        <v>1225000</v>
      </c>
      <c r="F508" s="8" t="b">
        <f t="shared" si="7"/>
        <v>0</v>
      </c>
    </row>
    <row r="509" spans="1:7" x14ac:dyDescent="0.3">
      <c r="A509" s="6" t="s">
        <v>14</v>
      </c>
      <c r="B509" s="6" t="s">
        <v>15</v>
      </c>
      <c r="C509" s="7">
        <v>46139</v>
      </c>
      <c r="D509" s="11">
        <v>1292000</v>
      </c>
      <c r="E509" s="12">
        <f>MAX($D$261:D509)</f>
        <v>1292000</v>
      </c>
      <c r="F509" s="8" t="b">
        <f t="shared" si="7"/>
        <v>0</v>
      </c>
    </row>
    <row r="510" spans="1:7" s="16" customFormat="1" x14ac:dyDescent="0.3">
      <c r="A510" s="13" t="s">
        <v>14</v>
      </c>
      <c r="B510" s="13" t="s">
        <v>15</v>
      </c>
      <c r="C510" s="14">
        <v>46140</v>
      </c>
      <c r="D510" s="15">
        <v>1300000</v>
      </c>
      <c r="E510" s="15">
        <f>MAX($D$261:D510)</f>
        <v>1300000</v>
      </c>
      <c r="F510" s="13" t="b">
        <f t="shared" si="7"/>
        <v>1</v>
      </c>
    </row>
    <row r="511" spans="1:7" x14ac:dyDescent="0.3">
      <c r="A511" s="6" t="s">
        <v>14</v>
      </c>
      <c r="B511" s="6" t="s">
        <v>15</v>
      </c>
      <c r="C511" s="7">
        <v>46141</v>
      </c>
      <c r="D511" s="11">
        <v>1293000</v>
      </c>
      <c r="E511" s="12">
        <f>MAX($D$261:D511)</f>
        <v>1300000</v>
      </c>
      <c r="F511" s="8" t="b">
        <f t="shared" si="7"/>
        <v>0</v>
      </c>
    </row>
    <row r="512" spans="1:7" s="16" customFormat="1" x14ac:dyDescent="0.3">
      <c r="A512" s="13" t="s">
        <v>14</v>
      </c>
      <c r="B512" s="13" t="s">
        <v>15</v>
      </c>
      <c r="C512" s="14">
        <v>46142</v>
      </c>
      <c r="D512" s="15">
        <v>1286000</v>
      </c>
      <c r="E512" s="15">
        <f>MAX($D$261:D512)</f>
        <v>1300000</v>
      </c>
      <c r="F512" s="13" t="b">
        <f t="shared" si="7"/>
        <v>0</v>
      </c>
      <c r="G512" s="16" t="s">
        <v>254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8"/>
  <sheetViews>
    <sheetView workbookViewId="0">
      <pane ySplit="4" topLeftCell="A5" activePane="bottomLeft" state="frozen"/>
      <selection pane="bottomLeft" activeCell="C3" sqref="C3"/>
    </sheetView>
  </sheetViews>
  <sheetFormatPr defaultRowHeight="16.5" x14ac:dyDescent="0.3"/>
  <cols>
    <col min="1" max="1" width="14" customWidth="1"/>
    <col min="2" max="2" width="20.25" bestFit="1" customWidth="1"/>
    <col min="3" max="4" width="20.5" bestFit="1" customWidth="1"/>
    <col min="5" max="7" width="16" customWidth="1"/>
  </cols>
  <sheetData>
    <row r="1" spans="1:7" ht="24" x14ac:dyDescent="0.45">
      <c r="A1" s="1" t="s">
        <v>20</v>
      </c>
    </row>
    <row r="2" spans="1:7" x14ac:dyDescent="0.3">
      <c r="A2" t="s">
        <v>1</v>
      </c>
      <c r="B2" s="2">
        <v>46142</v>
      </c>
      <c r="C2" t="s">
        <v>2</v>
      </c>
      <c r="D2">
        <v>299</v>
      </c>
    </row>
    <row r="4" spans="1:7" x14ac:dyDescent="0.3">
      <c r="A4" s="3" t="s">
        <v>3</v>
      </c>
      <c r="B4" s="3" t="s">
        <v>4</v>
      </c>
      <c r="C4" s="3" t="s">
        <v>21</v>
      </c>
      <c r="D4" s="3" t="s">
        <v>22</v>
      </c>
      <c r="E4" s="3" t="s">
        <v>23</v>
      </c>
      <c r="F4" s="3" t="s">
        <v>8</v>
      </c>
      <c r="G4" s="3" t="s">
        <v>9</v>
      </c>
    </row>
    <row r="5" spans="1:7" x14ac:dyDescent="0.3">
      <c r="A5" t="s">
        <v>11</v>
      </c>
      <c r="B5" t="s">
        <v>12</v>
      </c>
      <c r="C5" s="18">
        <v>344258000000000</v>
      </c>
      <c r="D5" s="18">
        <v>205962000000000</v>
      </c>
      <c r="E5" s="10">
        <f>IFERROR(IF(AND(C5&lt;100000000000,(C5-D5)/ABS(D5)&gt;0.5),0,(C5-D5)/ABS(D5)),NA())</f>
        <v>0.67146366805527236</v>
      </c>
      <c r="F5" s="4">
        <f>IFERROR(MIN(4,INT((_xlfn.RANK.AVG(E5,$E$9:$E$178,1)-1)*5/COUNT($E$9:$E$178))),NA())</f>
        <v>4</v>
      </c>
      <c r="G5">
        <v>4</v>
      </c>
    </row>
    <row r="6" spans="1:7" x14ac:dyDescent="0.3">
      <c r="A6" t="s">
        <v>14</v>
      </c>
      <c r="B6" t="s">
        <v>15</v>
      </c>
      <c r="C6" s="18">
        <v>276392000000000</v>
      </c>
      <c r="D6" s="18">
        <v>170084000000000</v>
      </c>
      <c r="E6" s="10">
        <f>IFERROR(IF(AND(C6&lt;100000000000,(C6-D6)/ABS(D6)&gt;0.5),0,(C6-D6)/ABS(D6)),NA())</f>
        <v>0.62503233696291249</v>
      </c>
      <c r="F6" s="4">
        <f>IFERROR(MIN(4,INT((_xlfn.RANK.AVG(E6,$E$9:$E$178,1)-1)*5/COUNT($E$9:$E$178))),NA())</f>
        <v>4</v>
      </c>
      <c r="G6">
        <v>4</v>
      </c>
    </row>
    <row r="8" spans="1:7" x14ac:dyDescent="0.3">
      <c r="A8" s="5" t="s">
        <v>4</v>
      </c>
      <c r="B8" s="5" t="s">
        <v>21</v>
      </c>
      <c r="C8" s="5" t="s">
        <v>22</v>
      </c>
      <c r="D8" s="5" t="s">
        <v>24</v>
      </c>
      <c r="E8" s="5" t="s">
        <v>23</v>
      </c>
      <c r="F8" s="5" t="s">
        <v>8</v>
      </c>
    </row>
    <row r="9" spans="1:7" x14ac:dyDescent="0.3">
      <c r="A9" s="6" t="s">
        <v>12</v>
      </c>
      <c r="B9" s="11">
        <v>344258000000000</v>
      </c>
      <c r="C9" s="11">
        <v>205962000000000</v>
      </c>
      <c r="D9" s="8" t="b">
        <f t="shared" ref="D9:D40" si="0">AND(ISNUMBER(B9),ISNUMBER(C9),C9&lt;&gt;0)</f>
        <v>1</v>
      </c>
      <c r="E9" s="9">
        <f t="shared" ref="E9:E40" si="1">IFERROR(IF(AND(B9&lt;100000000000,(B9-C9)/ABS(C9)&gt;0.5),0,(B9-C9)/ABS(C9)),NA())</f>
        <v>0.67146366805527236</v>
      </c>
      <c r="F9" s="8">
        <f>IFERROR(MIN(4,INT((_xlfn.RANK.AVG(E9,$E$9:$E$178,1)-1)*5/COUNT($E$9:$E$178))),NA())</f>
        <v>4</v>
      </c>
    </row>
    <row r="10" spans="1:7" x14ac:dyDescent="0.3">
      <c r="A10" s="6" t="s">
        <v>15</v>
      </c>
      <c r="B10" s="11">
        <v>276392000000000</v>
      </c>
      <c r="C10" s="11">
        <v>170084000000000</v>
      </c>
      <c r="D10" s="8" t="b">
        <f t="shared" si="0"/>
        <v>1</v>
      </c>
      <c r="E10" s="9">
        <f t="shared" si="1"/>
        <v>0.62503233696291249</v>
      </c>
      <c r="F10" s="8">
        <f t="shared" ref="F10:F73" si="2">IFERROR(MIN(4,INT((_xlfn.RANK.AVG(E10,$E$9:$E$178,1)-1)*5/COUNT($E$9:$E$178))),NA())</f>
        <v>4</v>
      </c>
    </row>
    <row r="11" spans="1:7" x14ac:dyDescent="0.3">
      <c r="A11" s="6" t="s">
        <v>25</v>
      </c>
      <c r="B11" s="11">
        <v>2624040000000</v>
      </c>
      <c r="C11" s="11">
        <v>2497160000000</v>
      </c>
      <c r="D11" s="8" t="b">
        <f t="shared" si="0"/>
        <v>1</v>
      </c>
      <c r="E11" s="9">
        <f t="shared" si="1"/>
        <v>5.0809719841740215E-2</v>
      </c>
      <c r="F11" s="8">
        <f t="shared" si="2"/>
        <v>3</v>
      </c>
    </row>
    <row r="12" spans="1:7" x14ac:dyDescent="0.3">
      <c r="A12" s="6" t="s">
        <v>26</v>
      </c>
      <c r="B12" s="11">
        <v>2176930000000</v>
      </c>
      <c r="C12" s="11">
        <v>1987160000000</v>
      </c>
      <c r="D12" s="8" t="b">
        <f t="shared" si="0"/>
        <v>1</v>
      </c>
      <c r="E12" s="9">
        <f t="shared" si="1"/>
        <v>9.5498097787797664E-2</v>
      </c>
      <c r="F12" s="8">
        <f t="shared" si="2"/>
        <v>4</v>
      </c>
    </row>
    <row r="13" spans="1:7" x14ac:dyDescent="0.3">
      <c r="A13" s="6" t="s">
        <v>27</v>
      </c>
      <c r="B13" s="11">
        <v>4627770000000</v>
      </c>
      <c r="C13" s="11">
        <v>4591430000000</v>
      </c>
      <c r="D13" s="8" t="b">
        <f t="shared" si="0"/>
        <v>1</v>
      </c>
      <c r="E13" s="9">
        <f t="shared" si="1"/>
        <v>7.9147455150138414E-3</v>
      </c>
      <c r="F13" s="8">
        <f t="shared" si="2"/>
        <v>2</v>
      </c>
    </row>
    <row r="14" spans="1:7" x14ac:dyDescent="0.3">
      <c r="A14" s="6" t="s">
        <v>28</v>
      </c>
      <c r="B14" s="11">
        <v>12516500000000</v>
      </c>
      <c r="C14" s="11">
        <v>13158700000000</v>
      </c>
      <c r="D14" s="8" t="b">
        <f t="shared" si="0"/>
        <v>1</v>
      </c>
      <c r="E14" s="9">
        <f t="shared" si="1"/>
        <v>-4.880421318215325E-2</v>
      </c>
      <c r="F14" s="8">
        <f t="shared" si="2"/>
        <v>0</v>
      </c>
    </row>
    <row r="15" spans="1:7" x14ac:dyDescent="0.3">
      <c r="A15" s="6" t="s">
        <v>29</v>
      </c>
      <c r="B15" s="11">
        <v>9129040000000</v>
      </c>
      <c r="C15" s="11">
        <v>8728370000000</v>
      </c>
      <c r="D15" s="8" t="b">
        <f t="shared" si="0"/>
        <v>1</v>
      </c>
      <c r="E15" s="9">
        <f t="shared" si="1"/>
        <v>4.590433265317579E-2</v>
      </c>
      <c r="F15" s="8">
        <f t="shared" si="2"/>
        <v>3</v>
      </c>
    </row>
    <row r="16" spans="1:7" x14ac:dyDescent="0.3">
      <c r="A16" s="6" t="s">
        <v>30</v>
      </c>
      <c r="B16" s="11">
        <v>10446500000000</v>
      </c>
      <c r="C16" s="11">
        <v>10502400000000</v>
      </c>
      <c r="D16" s="8" t="b">
        <f t="shared" si="0"/>
        <v>1</v>
      </c>
      <c r="E16" s="9">
        <f t="shared" si="1"/>
        <v>-5.3225929311395493E-3</v>
      </c>
      <c r="F16" s="8">
        <f t="shared" si="2"/>
        <v>1</v>
      </c>
    </row>
    <row r="17" spans="1:6" x14ac:dyDescent="0.3">
      <c r="A17" s="6" t="s">
        <v>31</v>
      </c>
      <c r="B17" s="11">
        <v>3701260000000</v>
      </c>
      <c r="C17" s="11">
        <v>3680210000000</v>
      </c>
      <c r="D17" s="8" t="b">
        <f t="shared" si="0"/>
        <v>1</v>
      </c>
      <c r="E17" s="9">
        <f t="shared" si="1"/>
        <v>5.7197822950320774E-3</v>
      </c>
      <c r="F17" s="8">
        <f t="shared" si="2"/>
        <v>2</v>
      </c>
    </row>
    <row r="18" spans="1:6" x14ac:dyDescent="0.3">
      <c r="A18" s="6" t="s">
        <v>32</v>
      </c>
      <c r="B18" s="11">
        <v>1850400000000</v>
      </c>
      <c r="C18" s="11">
        <v>1783960000000</v>
      </c>
      <c r="D18" s="8" t="b">
        <f t="shared" si="0"/>
        <v>1</v>
      </c>
      <c r="E18" s="9">
        <f t="shared" si="1"/>
        <v>3.724298751093074E-2</v>
      </c>
      <c r="F18" s="8">
        <f t="shared" si="2"/>
        <v>3</v>
      </c>
    </row>
    <row r="19" spans="1:6" x14ac:dyDescent="0.3">
      <c r="A19" s="6" t="s">
        <v>33</v>
      </c>
      <c r="B19" s="11">
        <v>1277940000000</v>
      </c>
      <c r="C19" s="11">
        <v>1219540000000</v>
      </c>
      <c r="D19" s="8" t="b">
        <f t="shared" si="0"/>
        <v>1</v>
      </c>
      <c r="E19" s="9">
        <f t="shared" si="1"/>
        <v>4.7886908178493531E-2</v>
      </c>
      <c r="F19" s="8">
        <f t="shared" si="2"/>
        <v>3</v>
      </c>
    </row>
    <row r="20" spans="1:6" x14ac:dyDescent="0.3">
      <c r="A20" s="6" t="s">
        <v>34</v>
      </c>
      <c r="B20" s="11">
        <v>2574280000000</v>
      </c>
      <c r="C20" s="11">
        <v>2617790000000</v>
      </c>
      <c r="D20" s="8" t="b">
        <f t="shared" si="0"/>
        <v>1</v>
      </c>
      <c r="E20" s="9">
        <f t="shared" si="1"/>
        <v>-1.6620890140156393E-2</v>
      </c>
      <c r="F20" s="8">
        <f t="shared" si="2"/>
        <v>0</v>
      </c>
    </row>
    <row r="21" spans="1:6" x14ac:dyDescent="0.3">
      <c r="A21" s="6" t="s">
        <v>35</v>
      </c>
      <c r="B21" s="11">
        <v>7718780000000</v>
      </c>
      <c r="C21" s="11">
        <v>7589670000000</v>
      </c>
      <c r="D21" s="8" t="b">
        <f t="shared" si="0"/>
        <v>1</v>
      </c>
      <c r="E21" s="9">
        <f t="shared" si="1"/>
        <v>1.701127980531433E-2</v>
      </c>
      <c r="F21" s="8">
        <f t="shared" si="2"/>
        <v>2</v>
      </c>
    </row>
    <row r="22" spans="1:6" x14ac:dyDescent="0.3">
      <c r="A22" s="6" t="s">
        <v>36</v>
      </c>
      <c r="B22" s="11">
        <v>3848930000000</v>
      </c>
      <c r="C22" s="11">
        <v>4018850000000</v>
      </c>
      <c r="D22" s="8" t="b">
        <f t="shared" si="0"/>
        <v>1</v>
      </c>
      <c r="E22" s="9">
        <f t="shared" si="1"/>
        <v>-4.2280751956405439E-2</v>
      </c>
      <c r="F22" s="8">
        <f t="shared" si="2"/>
        <v>0</v>
      </c>
    </row>
    <row r="23" spans="1:6" x14ac:dyDescent="0.3">
      <c r="A23" s="6" t="s">
        <v>37</v>
      </c>
      <c r="B23" s="11">
        <v>3887290000000</v>
      </c>
      <c r="C23" s="11">
        <v>3950090000000</v>
      </c>
      <c r="D23" s="8" t="b">
        <f t="shared" si="0"/>
        <v>1</v>
      </c>
      <c r="E23" s="9">
        <f t="shared" si="1"/>
        <v>-1.5898371935829311E-2</v>
      </c>
      <c r="F23" s="8">
        <f t="shared" si="2"/>
        <v>0</v>
      </c>
    </row>
    <row r="24" spans="1:6" x14ac:dyDescent="0.3">
      <c r="A24" s="6" t="s">
        <v>38</v>
      </c>
      <c r="B24" s="11">
        <v>3067840000000</v>
      </c>
      <c r="C24" s="11">
        <v>2927390000000</v>
      </c>
      <c r="D24" s="8" t="b">
        <f t="shared" si="0"/>
        <v>1</v>
      </c>
      <c r="E24" s="9">
        <f t="shared" si="1"/>
        <v>4.7977891568940251E-2</v>
      </c>
      <c r="F24" s="8">
        <f t="shared" si="2"/>
        <v>3</v>
      </c>
    </row>
    <row r="25" spans="1:6" x14ac:dyDescent="0.3">
      <c r="A25" s="6" t="s">
        <v>39</v>
      </c>
      <c r="B25" s="11">
        <v>1934140000000</v>
      </c>
      <c r="C25" s="11">
        <v>1824060000000</v>
      </c>
      <c r="D25" s="8" t="b">
        <f t="shared" si="0"/>
        <v>1</v>
      </c>
      <c r="E25" s="9">
        <f t="shared" si="1"/>
        <v>6.0348892032060349E-2</v>
      </c>
      <c r="F25" s="8">
        <f t="shared" si="2"/>
        <v>3</v>
      </c>
    </row>
    <row r="26" spans="1:6" x14ac:dyDescent="0.3">
      <c r="A26" s="6" t="s">
        <v>40</v>
      </c>
      <c r="B26" s="11">
        <v>5747380000000</v>
      </c>
      <c r="C26" s="11">
        <v>5703520000000</v>
      </c>
      <c r="D26" s="8" t="b">
        <f t="shared" si="0"/>
        <v>1</v>
      </c>
      <c r="E26" s="9">
        <f t="shared" si="1"/>
        <v>7.6899879372738242E-3</v>
      </c>
      <c r="F26" s="8">
        <f t="shared" si="2"/>
        <v>2</v>
      </c>
    </row>
    <row r="27" spans="1:6" x14ac:dyDescent="0.3">
      <c r="A27" s="6" t="s">
        <v>41</v>
      </c>
      <c r="B27" s="11">
        <v>905392000000</v>
      </c>
      <c r="C27" s="11">
        <v>901975000000</v>
      </c>
      <c r="D27" s="8" t="b">
        <f t="shared" si="0"/>
        <v>1</v>
      </c>
      <c r="E27" s="9">
        <f t="shared" si="1"/>
        <v>3.7883533357354693E-3</v>
      </c>
      <c r="F27" s="8">
        <f t="shared" si="2"/>
        <v>1</v>
      </c>
    </row>
    <row r="28" spans="1:6" x14ac:dyDescent="0.3">
      <c r="A28" s="6" t="s">
        <v>42</v>
      </c>
      <c r="B28" s="11">
        <v>980271000000</v>
      </c>
      <c r="C28" s="11">
        <v>951393000000</v>
      </c>
      <c r="D28" s="8" t="b">
        <f t="shared" si="0"/>
        <v>1</v>
      </c>
      <c r="E28" s="9">
        <f t="shared" si="1"/>
        <v>3.035338708609376E-2</v>
      </c>
      <c r="F28" s="8">
        <f t="shared" si="2"/>
        <v>3</v>
      </c>
    </row>
    <row r="29" spans="1:6" x14ac:dyDescent="0.3">
      <c r="A29" s="6" t="s">
        <v>43</v>
      </c>
      <c r="B29" s="11">
        <v>6083860000000</v>
      </c>
      <c r="C29" s="11">
        <v>5849920000000</v>
      </c>
      <c r="D29" s="8" t="b">
        <f t="shared" si="0"/>
        <v>1</v>
      </c>
      <c r="E29" s="9">
        <f t="shared" si="1"/>
        <v>3.9990290465510642E-2</v>
      </c>
      <c r="F29" s="8">
        <f t="shared" si="2"/>
        <v>3</v>
      </c>
    </row>
    <row r="30" spans="1:6" x14ac:dyDescent="0.3">
      <c r="A30" s="6" t="s">
        <v>44</v>
      </c>
      <c r="B30" s="11">
        <v>3368190000000</v>
      </c>
      <c r="C30" s="11">
        <v>3382340000000</v>
      </c>
      <c r="D30" s="8" t="b">
        <f t="shared" si="0"/>
        <v>1</v>
      </c>
      <c r="E30" s="9">
        <f t="shared" si="1"/>
        <v>-4.1834942672824144E-3</v>
      </c>
      <c r="F30" s="8">
        <f t="shared" si="2"/>
        <v>1</v>
      </c>
    </row>
    <row r="31" spans="1:6" x14ac:dyDescent="0.3">
      <c r="A31" s="6" t="s">
        <v>45</v>
      </c>
      <c r="B31" s="11">
        <v>3345420000000</v>
      </c>
      <c r="C31" s="11">
        <v>3309440000000</v>
      </c>
      <c r="D31" s="8" t="b">
        <f t="shared" si="0"/>
        <v>1</v>
      </c>
      <c r="E31" s="9">
        <f t="shared" si="1"/>
        <v>1.0871929994198413E-2</v>
      </c>
      <c r="F31" s="8">
        <f t="shared" si="2"/>
        <v>2</v>
      </c>
    </row>
    <row r="32" spans="1:6" x14ac:dyDescent="0.3">
      <c r="A32" s="6" t="s">
        <v>46</v>
      </c>
      <c r="B32" s="11">
        <v>2987950000000</v>
      </c>
      <c r="C32" s="11">
        <v>2949450000000</v>
      </c>
      <c r="D32" s="8" t="b">
        <f t="shared" si="0"/>
        <v>1</v>
      </c>
      <c r="E32" s="9">
        <f t="shared" si="1"/>
        <v>1.3053281120208853E-2</v>
      </c>
      <c r="F32" s="8">
        <f t="shared" si="2"/>
        <v>2</v>
      </c>
    </row>
    <row r="33" spans="1:6" x14ac:dyDescent="0.3">
      <c r="A33" s="6" t="s">
        <v>47</v>
      </c>
      <c r="B33" s="11">
        <v>1320760000000</v>
      </c>
      <c r="C33" s="11">
        <v>1363200000000</v>
      </c>
      <c r="D33" s="8" t="b">
        <f t="shared" si="0"/>
        <v>1</v>
      </c>
      <c r="E33" s="9">
        <f t="shared" si="1"/>
        <v>-3.113262910798122E-2</v>
      </c>
      <c r="F33" s="8">
        <f t="shared" si="2"/>
        <v>0</v>
      </c>
    </row>
    <row r="34" spans="1:6" x14ac:dyDescent="0.3">
      <c r="A34" s="6" t="s">
        <v>48</v>
      </c>
      <c r="B34" s="11">
        <v>33384400000000</v>
      </c>
      <c r="C34" s="11">
        <v>27002000000000</v>
      </c>
      <c r="D34" s="8" t="b">
        <f t="shared" si="0"/>
        <v>1</v>
      </c>
      <c r="E34" s="9">
        <f t="shared" si="1"/>
        <v>0.23636767646840975</v>
      </c>
      <c r="F34" s="8">
        <f t="shared" si="2"/>
        <v>4</v>
      </c>
    </row>
    <row r="35" spans="1:6" x14ac:dyDescent="0.3">
      <c r="A35" s="6" t="s">
        <v>49</v>
      </c>
      <c r="B35" s="11">
        <v>14346900000000</v>
      </c>
      <c r="C35" s="11">
        <v>17916100000000</v>
      </c>
      <c r="D35" s="8" t="b">
        <f t="shared" si="0"/>
        <v>1</v>
      </c>
      <c r="E35" s="9">
        <f t="shared" si="1"/>
        <v>-0.19921746362210527</v>
      </c>
      <c r="F35" s="8">
        <f t="shared" si="2"/>
        <v>0</v>
      </c>
    </row>
    <row r="36" spans="1:6" x14ac:dyDescent="0.3">
      <c r="A36" s="6" t="s">
        <v>50</v>
      </c>
      <c r="B36" s="11">
        <v>1318010000000</v>
      </c>
      <c r="C36" s="11">
        <v>1309580000000</v>
      </c>
      <c r="D36" s="8" t="b">
        <f t="shared" si="0"/>
        <v>1</v>
      </c>
      <c r="E36" s="9">
        <f t="shared" si="1"/>
        <v>6.4371783319843003E-3</v>
      </c>
      <c r="F36" s="8">
        <f t="shared" si="2"/>
        <v>2</v>
      </c>
    </row>
    <row r="37" spans="1:6" x14ac:dyDescent="0.3">
      <c r="A37" s="6" t="s">
        <v>51</v>
      </c>
      <c r="B37" s="11">
        <v>2067530000000</v>
      </c>
      <c r="C37" s="11">
        <v>1905010000000</v>
      </c>
      <c r="D37" s="8" t="b">
        <f t="shared" si="0"/>
        <v>1</v>
      </c>
      <c r="E37" s="9">
        <f t="shared" si="1"/>
        <v>8.531188812657152E-2</v>
      </c>
      <c r="F37" s="8">
        <f t="shared" si="2"/>
        <v>4</v>
      </c>
    </row>
    <row r="38" spans="1:6" x14ac:dyDescent="0.3">
      <c r="A38" s="6" t="s">
        <v>52</v>
      </c>
      <c r="B38" s="11">
        <v>1709560000000</v>
      </c>
      <c r="C38" s="11">
        <v>1679350000000</v>
      </c>
      <c r="D38" s="8" t="b">
        <f t="shared" si="0"/>
        <v>1</v>
      </c>
      <c r="E38" s="9">
        <f t="shared" si="1"/>
        <v>1.7989102926727604E-2</v>
      </c>
      <c r="F38" s="8">
        <f t="shared" si="2"/>
        <v>2</v>
      </c>
    </row>
    <row r="39" spans="1:6" x14ac:dyDescent="0.3">
      <c r="A39" s="6" t="s">
        <v>53</v>
      </c>
      <c r="B39" s="11">
        <v>4495770000000</v>
      </c>
      <c r="C39" s="11">
        <v>4648640000000</v>
      </c>
      <c r="D39" s="8" t="b">
        <f t="shared" si="0"/>
        <v>1</v>
      </c>
      <c r="E39" s="9">
        <f t="shared" si="1"/>
        <v>-3.2884886762580022E-2</v>
      </c>
      <c r="F39" s="8">
        <f t="shared" si="2"/>
        <v>0</v>
      </c>
    </row>
    <row r="40" spans="1:6" x14ac:dyDescent="0.3">
      <c r="A40" s="6" t="s">
        <v>54</v>
      </c>
      <c r="B40" s="11">
        <v>1352490000000</v>
      </c>
      <c r="C40" s="11">
        <v>1339020000000</v>
      </c>
      <c r="D40" s="8" t="b">
        <f t="shared" si="0"/>
        <v>1</v>
      </c>
      <c r="E40" s="9">
        <f t="shared" si="1"/>
        <v>1.0059595823811444E-2</v>
      </c>
      <c r="F40" s="8">
        <f t="shared" si="2"/>
        <v>2</v>
      </c>
    </row>
    <row r="41" spans="1:6" x14ac:dyDescent="0.3">
      <c r="A41" s="6" t="s">
        <v>55</v>
      </c>
      <c r="B41" s="11">
        <v>1525700000000</v>
      </c>
      <c r="C41" s="11">
        <v>1501520000000</v>
      </c>
      <c r="D41" s="8" t="b">
        <f t="shared" ref="D41:D72" si="3">AND(ISNUMBER(B41),ISNUMBER(C41),C41&lt;&gt;0)</f>
        <v>1</v>
      </c>
      <c r="E41" s="9">
        <f t="shared" ref="E41:E72" si="4">IFERROR(IF(AND(B41&lt;100000000000,(B41-C41)/ABS(C41)&gt;0.5),0,(B41-C41)/ABS(C41)),NA())</f>
        <v>1.6103681602642656E-2</v>
      </c>
      <c r="F41" s="8">
        <f t="shared" si="2"/>
        <v>2</v>
      </c>
    </row>
    <row r="42" spans="1:6" x14ac:dyDescent="0.3">
      <c r="A42" s="6" t="s">
        <v>56</v>
      </c>
      <c r="B42" s="11">
        <v>1934460000000</v>
      </c>
      <c r="C42" s="11">
        <v>2011380000000</v>
      </c>
      <c r="D42" s="8" t="b">
        <f t="shared" si="3"/>
        <v>1</v>
      </c>
      <c r="E42" s="9">
        <f t="shared" si="4"/>
        <v>-3.8242400739790593E-2</v>
      </c>
      <c r="F42" s="8">
        <f t="shared" si="2"/>
        <v>0</v>
      </c>
    </row>
    <row r="43" spans="1:6" x14ac:dyDescent="0.3">
      <c r="A43" s="6" t="s">
        <v>57</v>
      </c>
      <c r="B43" s="11">
        <v>3899790000000</v>
      </c>
      <c r="C43" s="11">
        <v>2093770000000</v>
      </c>
      <c r="D43" s="8" t="b">
        <f t="shared" si="3"/>
        <v>1</v>
      </c>
      <c r="E43" s="9">
        <f t="shared" si="4"/>
        <v>0.86256847695783201</v>
      </c>
      <c r="F43" s="8">
        <f t="shared" si="2"/>
        <v>4</v>
      </c>
    </row>
    <row r="44" spans="1:6" x14ac:dyDescent="0.3">
      <c r="A44" s="6" t="s">
        <v>58</v>
      </c>
      <c r="B44" s="11">
        <v>5540530000000</v>
      </c>
      <c r="C44" s="11">
        <v>5284050000000</v>
      </c>
      <c r="D44" s="8" t="b">
        <f t="shared" si="3"/>
        <v>1</v>
      </c>
      <c r="E44" s="9">
        <f t="shared" si="4"/>
        <v>4.8538526319773657E-2</v>
      </c>
      <c r="F44" s="8">
        <f t="shared" si="2"/>
        <v>3</v>
      </c>
    </row>
    <row r="45" spans="1:6" x14ac:dyDescent="0.3">
      <c r="A45" s="6" t="s">
        <v>59</v>
      </c>
      <c r="B45" s="11">
        <v>756546000000</v>
      </c>
      <c r="C45" s="11">
        <v>746525000000</v>
      </c>
      <c r="D45" s="8" t="b">
        <f t="shared" si="3"/>
        <v>1</v>
      </c>
      <c r="E45" s="9">
        <f t="shared" si="4"/>
        <v>1.3423529017782392E-2</v>
      </c>
      <c r="F45" s="8">
        <f t="shared" si="2"/>
        <v>2</v>
      </c>
    </row>
    <row r="46" spans="1:6" x14ac:dyDescent="0.3">
      <c r="A46" s="6" t="s">
        <v>60</v>
      </c>
      <c r="B46" s="11">
        <v>3821830000000</v>
      </c>
      <c r="C46" s="11">
        <v>3880190000000</v>
      </c>
      <c r="D46" s="8" t="b">
        <f t="shared" si="3"/>
        <v>1</v>
      </c>
      <c r="E46" s="9">
        <f t="shared" si="4"/>
        <v>-1.5040500594043075E-2</v>
      </c>
      <c r="F46" s="8">
        <f t="shared" si="2"/>
        <v>1</v>
      </c>
    </row>
    <row r="47" spans="1:6" x14ac:dyDescent="0.3">
      <c r="A47" s="6" t="s">
        <v>61</v>
      </c>
      <c r="B47" s="11">
        <v>2181720000000</v>
      </c>
      <c r="C47" s="11">
        <v>2222210000000</v>
      </c>
      <c r="D47" s="8" t="b">
        <f t="shared" si="3"/>
        <v>1</v>
      </c>
      <c r="E47" s="9">
        <f t="shared" si="4"/>
        <v>-1.8220600213301172E-2</v>
      </c>
      <c r="F47" s="8">
        <f t="shared" si="2"/>
        <v>0</v>
      </c>
    </row>
    <row r="48" spans="1:6" x14ac:dyDescent="0.3">
      <c r="A48" s="6" t="s">
        <v>62</v>
      </c>
      <c r="B48" s="11">
        <v>362406000000</v>
      </c>
      <c r="C48" s="11">
        <v>545315000000</v>
      </c>
      <c r="D48" s="8" t="b">
        <f t="shared" si="3"/>
        <v>1</v>
      </c>
      <c r="E48" s="9">
        <f t="shared" si="4"/>
        <v>-0.33541897802187726</v>
      </c>
      <c r="F48" s="8">
        <f t="shared" si="2"/>
        <v>0</v>
      </c>
    </row>
    <row r="49" spans="1:6" x14ac:dyDescent="0.3">
      <c r="A49" s="6" t="s">
        <v>63</v>
      </c>
      <c r="B49" s="11">
        <v>3933900000000</v>
      </c>
      <c r="C49" s="11">
        <v>3565330000000</v>
      </c>
      <c r="D49" s="8" t="b">
        <f t="shared" si="3"/>
        <v>1</v>
      </c>
      <c r="E49" s="9">
        <f t="shared" si="4"/>
        <v>0.10337612507117153</v>
      </c>
      <c r="F49" s="8">
        <f t="shared" si="2"/>
        <v>4</v>
      </c>
    </row>
    <row r="50" spans="1:6" x14ac:dyDescent="0.3">
      <c r="A50" s="6" t="s">
        <v>64</v>
      </c>
      <c r="B50" s="11">
        <v>392876000000</v>
      </c>
      <c r="C50" s="11">
        <v>-39036904762</v>
      </c>
      <c r="D50" s="8" t="b">
        <f t="shared" si="3"/>
        <v>1</v>
      </c>
      <c r="E50" s="9">
        <f t="shared" si="4"/>
        <v>11.064220060357869</v>
      </c>
      <c r="F50" s="8">
        <f t="shared" si="2"/>
        <v>4</v>
      </c>
    </row>
    <row r="51" spans="1:6" x14ac:dyDescent="0.3">
      <c r="A51" s="6" t="s">
        <v>65</v>
      </c>
      <c r="B51" s="11">
        <v>1854940000000</v>
      </c>
      <c r="C51" s="11">
        <v>1886540000000</v>
      </c>
      <c r="D51" s="8" t="b">
        <f t="shared" si="3"/>
        <v>1</v>
      </c>
      <c r="E51" s="9">
        <f t="shared" si="4"/>
        <v>-1.6750241182270188E-2</v>
      </c>
      <c r="F51" s="8">
        <f t="shared" si="2"/>
        <v>0</v>
      </c>
    </row>
    <row r="52" spans="1:6" x14ac:dyDescent="0.3">
      <c r="A52" s="6" t="s">
        <v>66</v>
      </c>
      <c r="B52" s="11">
        <v>1935880000000</v>
      </c>
      <c r="C52" s="11">
        <v>1892350000000</v>
      </c>
      <c r="D52" s="8" t="b">
        <f t="shared" si="3"/>
        <v>1</v>
      </c>
      <c r="E52" s="9">
        <f t="shared" si="4"/>
        <v>2.3003144238645072E-2</v>
      </c>
      <c r="F52" s="8">
        <f t="shared" si="2"/>
        <v>2</v>
      </c>
    </row>
    <row r="53" spans="1:6" x14ac:dyDescent="0.3">
      <c r="A53" s="6" t="s">
        <v>67</v>
      </c>
      <c r="B53" s="11">
        <v>2921680000000</v>
      </c>
      <c r="C53" s="11">
        <v>2700650000000</v>
      </c>
      <c r="D53" s="8" t="b">
        <f t="shared" si="3"/>
        <v>1</v>
      </c>
      <c r="E53" s="9">
        <f t="shared" si="4"/>
        <v>8.184325995593654E-2</v>
      </c>
      <c r="F53" s="8">
        <f t="shared" si="2"/>
        <v>4</v>
      </c>
    </row>
    <row r="54" spans="1:6" x14ac:dyDescent="0.3">
      <c r="A54" s="6" t="s">
        <v>68</v>
      </c>
      <c r="B54" s="11">
        <v>905896000000</v>
      </c>
      <c r="C54" s="11">
        <v>1045290000000</v>
      </c>
      <c r="D54" s="8" t="b">
        <f t="shared" si="3"/>
        <v>1</v>
      </c>
      <c r="E54" s="9">
        <f t="shared" si="4"/>
        <v>-0.13335438012417605</v>
      </c>
      <c r="F54" s="8">
        <f t="shared" si="2"/>
        <v>0</v>
      </c>
    </row>
    <row r="55" spans="1:6" x14ac:dyDescent="0.3">
      <c r="A55" s="6" t="s">
        <v>69</v>
      </c>
      <c r="B55" s="11">
        <v>8651750000000</v>
      </c>
      <c r="C55" s="11">
        <v>8460100000000</v>
      </c>
      <c r="D55" s="8" t="b">
        <f t="shared" si="3"/>
        <v>1</v>
      </c>
      <c r="E55" s="9">
        <f t="shared" si="4"/>
        <v>2.2653396531955888E-2</v>
      </c>
      <c r="F55" s="8">
        <f t="shared" si="2"/>
        <v>2</v>
      </c>
    </row>
    <row r="56" spans="1:6" x14ac:dyDescent="0.3">
      <c r="A56" s="6" t="s">
        <v>70</v>
      </c>
      <c r="B56" s="11">
        <v>497576000000</v>
      </c>
      <c r="C56" s="11">
        <v>472225000000</v>
      </c>
      <c r="D56" s="8" t="b">
        <f t="shared" si="3"/>
        <v>1</v>
      </c>
      <c r="E56" s="9">
        <f t="shared" si="4"/>
        <v>5.3684154799089417E-2</v>
      </c>
      <c r="F56" s="8">
        <f t="shared" si="2"/>
        <v>3</v>
      </c>
    </row>
    <row r="57" spans="1:6" x14ac:dyDescent="0.3">
      <c r="A57" s="6" t="s">
        <v>71</v>
      </c>
      <c r="B57" s="11">
        <v>358315000000</v>
      </c>
      <c r="C57" s="11">
        <v>378392000000</v>
      </c>
      <c r="D57" s="8" t="b">
        <f t="shared" si="3"/>
        <v>1</v>
      </c>
      <c r="E57" s="9">
        <f t="shared" si="4"/>
        <v>-5.3058732742764118E-2</v>
      </c>
      <c r="F57" s="8">
        <f t="shared" si="2"/>
        <v>0</v>
      </c>
    </row>
    <row r="58" spans="1:6" x14ac:dyDescent="0.3">
      <c r="A58" s="6" t="s">
        <v>72</v>
      </c>
      <c r="B58" s="11">
        <v>1684610000000</v>
      </c>
      <c r="C58" s="11">
        <v>1486280000000</v>
      </c>
      <c r="D58" s="8" t="b">
        <f t="shared" si="3"/>
        <v>1</v>
      </c>
      <c r="E58" s="9">
        <f t="shared" si="4"/>
        <v>0.13344053610356058</v>
      </c>
      <c r="F58" s="8">
        <f t="shared" si="2"/>
        <v>4</v>
      </c>
    </row>
    <row r="59" spans="1:6" x14ac:dyDescent="0.3">
      <c r="A59" s="6" t="s">
        <v>73</v>
      </c>
      <c r="B59" s="11">
        <v>1889400000000</v>
      </c>
      <c r="C59" s="11">
        <v>1762680000000</v>
      </c>
      <c r="D59" s="8" t="b">
        <f t="shared" si="3"/>
        <v>1</v>
      </c>
      <c r="E59" s="9">
        <f t="shared" si="4"/>
        <v>7.1890530328817481E-2</v>
      </c>
      <c r="F59" s="8">
        <f t="shared" si="2"/>
        <v>4</v>
      </c>
    </row>
    <row r="60" spans="1:6" x14ac:dyDescent="0.3">
      <c r="A60" s="6" t="s">
        <v>74</v>
      </c>
      <c r="B60" s="11">
        <v>120775000000</v>
      </c>
      <c r="C60" s="11">
        <v>110189000000</v>
      </c>
      <c r="D60" s="8" t="b">
        <f t="shared" si="3"/>
        <v>1</v>
      </c>
      <c r="E60" s="9">
        <f t="shared" si="4"/>
        <v>9.6071295682872163E-2</v>
      </c>
      <c r="F60" s="8">
        <f t="shared" si="2"/>
        <v>4</v>
      </c>
    </row>
    <row r="61" spans="1:6" x14ac:dyDescent="0.3">
      <c r="A61" s="6" t="s">
        <v>75</v>
      </c>
      <c r="B61" s="11">
        <v>2242310000000</v>
      </c>
      <c r="C61" s="11">
        <v>2258980000000</v>
      </c>
      <c r="D61" s="8" t="b">
        <f t="shared" si="3"/>
        <v>1</v>
      </c>
      <c r="E61" s="9">
        <f t="shared" si="4"/>
        <v>-7.3794367369343682E-3</v>
      </c>
      <c r="F61" s="8">
        <f t="shared" si="2"/>
        <v>1</v>
      </c>
    </row>
    <row r="62" spans="1:6" x14ac:dyDescent="0.3">
      <c r="A62" s="6" t="s">
        <v>76</v>
      </c>
      <c r="B62" s="11">
        <v>1403940000000</v>
      </c>
      <c r="C62" s="11">
        <v>1383810000000</v>
      </c>
      <c r="D62" s="8" t="b">
        <f t="shared" si="3"/>
        <v>1</v>
      </c>
      <c r="E62" s="9">
        <f t="shared" si="4"/>
        <v>1.4546794718928176E-2</v>
      </c>
      <c r="F62" s="8">
        <f t="shared" si="2"/>
        <v>2</v>
      </c>
    </row>
    <row r="63" spans="1:6" x14ac:dyDescent="0.3">
      <c r="A63" s="6" t="s">
        <v>77</v>
      </c>
      <c r="B63" s="11">
        <v>737891000000</v>
      </c>
      <c r="C63" s="11">
        <v>727123000000</v>
      </c>
      <c r="D63" s="8" t="b">
        <f t="shared" si="3"/>
        <v>1</v>
      </c>
      <c r="E63" s="9">
        <f t="shared" si="4"/>
        <v>1.4809048812924362E-2</v>
      </c>
      <c r="F63" s="8">
        <f t="shared" si="2"/>
        <v>2</v>
      </c>
    </row>
    <row r="64" spans="1:6" x14ac:dyDescent="0.3">
      <c r="A64" s="6" t="s">
        <v>78</v>
      </c>
      <c r="B64" s="11">
        <v>471979000000</v>
      </c>
      <c r="C64" s="11">
        <v>474844000000</v>
      </c>
      <c r="D64" s="8" t="b">
        <f t="shared" si="3"/>
        <v>1</v>
      </c>
      <c r="E64" s="9">
        <f t="shared" si="4"/>
        <v>-6.0335604956575214E-3</v>
      </c>
      <c r="F64" s="8">
        <f t="shared" si="2"/>
        <v>1</v>
      </c>
    </row>
    <row r="65" spans="1:6" x14ac:dyDescent="0.3">
      <c r="A65" s="6" t="s">
        <v>79</v>
      </c>
      <c r="B65" s="11">
        <v>175269000000</v>
      </c>
      <c r="C65" s="11">
        <v>173687000000</v>
      </c>
      <c r="D65" s="8" t="b">
        <f t="shared" si="3"/>
        <v>1</v>
      </c>
      <c r="E65" s="9">
        <f t="shared" si="4"/>
        <v>9.1083385630473211E-3</v>
      </c>
      <c r="F65" s="8">
        <f t="shared" si="2"/>
        <v>2</v>
      </c>
    </row>
    <row r="66" spans="1:6" x14ac:dyDescent="0.3">
      <c r="A66" s="6" t="s">
        <v>80</v>
      </c>
      <c r="B66" s="11">
        <v>551065000000</v>
      </c>
      <c r="C66" s="11">
        <v>538374000000</v>
      </c>
      <c r="D66" s="8" t="b">
        <f t="shared" si="3"/>
        <v>1</v>
      </c>
      <c r="E66" s="9">
        <f t="shared" si="4"/>
        <v>2.3572832269017449E-2</v>
      </c>
      <c r="F66" s="8">
        <f t="shared" si="2"/>
        <v>2</v>
      </c>
    </row>
    <row r="67" spans="1:6" x14ac:dyDescent="0.3">
      <c r="A67" s="6" t="s">
        <v>81</v>
      </c>
      <c r="B67" s="11">
        <v>1180460000000</v>
      </c>
      <c r="C67" s="11">
        <v>1556690000000</v>
      </c>
      <c r="D67" s="8" t="b">
        <f t="shared" si="3"/>
        <v>1</v>
      </c>
      <c r="E67" s="9">
        <f t="shared" si="4"/>
        <v>-0.24168588479401806</v>
      </c>
      <c r="F67" s="8">
        <f t="shared" si="2"/>
        <v>0</v>
      </c>
    </row>
    <row r="68" spans="1:6" x14ac:dyDescent="0.3">
      <c r="A68" s="6" t="s">
        <v>82</v>
      </c>
      <c r="B68" s="11">
        <v>478268000000</v>
      </c>
      <c r="C68" s="11">
        <v>472512000000</v>
      </c>
      <c r="D68" s="8" t="b">
        <f t="shared" si="3"/>
        <v>1</v>
      </c>
      <c r="E68" s="9">
        <f t="shared" si="4"/>
        <v>1.218170120547203E-2</v>
      </c>
      <c r="F68" s="8">
        <f t="shared" si="2"/>
        <v>2</v>
      </c>
    </row>
    <row r="69" spans="1:6" x14ac:dyDescent="0.3">
      <c r="A69" s="6" t="s">
        <v>83</v>
      </c>
      <c r="B69" s="11">
        <v>921351000000</v>
      </c>
      <c r="C69" s="11">
        <v>898510000000</v>
      </c>
      <c r="D69" s="8" t="b">
        <f t="shared" si="3"/>
        <v>1</v>
      </c>
      <c r="E69" s="9">
        <f t="shared" si="4"/>
        <v>2.5420974724822205E-2</v>
      </c>
      <c r="F69" s="8">
        <f t="shared" si="2"/>
        <v>2</v>
      </c>
    </row>
    <row r="70" spans="1:6" x14ac:dyDescent="0.3">
      <c r="A70" s="6" t="s">
        <v>84</v>
      </c>
      <c r="B70" s="11">
        <v>142567000000</v>
      </c>
      <c r="C70" s="11">
        <v>112379000000</v>
      </c>
      <c r="D70" s="8" t="b">
        <f t="shared" si="3"/>
        <v>1</v>
      </c>
      <c r="E70" s="9">
        <f t="shared" si="4"/>
        <v>0.26862670071810568</v>
      </c>
      <c r="F70" s="8">
        <f t="shared" si="2"/>
        <v>4</v>
      </c>
    </row>
    <row r="71" spans="1:6" x14ac:dyDescent="0.3">
      <c r="A71" s="6" t="s">
        <v>85</v>
      </c>
      <c r="B71" s="11">
        <v>2215420000000</v>
      </c>
      <c r="C71" s="11">
        <v>2283150000000</v>
      </c>
      <c r="D71" s="8" t="b">
        <f t="shared" si="3"/>
        <v>1</v>
      </c>
      <c r="E71" s="9">
        <f t="shared" si="4"/>
        <v>-2.9665155596434751E-2</v>
      </c>
      <c r="F71" s="8">
        <f t="shared" si="2"/>
        <v>0</v>
      </c>
    </row>
    <row r="72" spans="1:6" x14ac:dyDescent="0.3">
      <c r="A72" s="6" t="s">
        <v>86</v>
      </c>
      <c r="B72" s="11">
        <v>729715000000</v>
      </c>
      <c r="C72" s="11">
        <v>680683000000</v>
      </c>
      <c r="D72" s="8" t="b">
        <f t="shared" si="3"/>
        <v>1</v>
      </c>
      <c r="E72" s="9">
        <f t="shared" si="4"/>
        <v>7.2033531026924433E-2</v>
      </c>
      <c r="F72" s="8">
        <f t="shared" si="2"/>
        <v>4</v>
      </c>
    </row>
    <row r="73" spans="1:6" x14ac:dyDescent="0.3">
      <c r="A73" s="6" t="s">
        <v>87</v>
      </c>
      <c r="B73" s="11">
        <v>368457000000</v>
      </c>
      <c r="C73" s="11">
        <v>362246000000</v>
      </c>
      <c r="D73" s="8" t="b">
        <f t="shared" ref="D73:D104" si="5">AND(ISNUMBER(B73),ISNUMBER(C73),C73&lt;&gt;0)</f>
        <v>1</v>
      </c>
      <c r="E73" s="9">
        <f t="shared" ref="E73:E104" si="6">IFERROR(IF(AND(B73&lt;100000000000,(B73-C73)/ABS(C73)&gt;0.5),0,(B73-C73)/ABS(C73)),NA())</f>
        <v>1.7145806993037881E-2</v>
      </c>
      <c r="F73" s="8">
        <f t="shared" si="2"/>
        <v>2</v>
      </c>
    </row>
    <row r="74" spans="1:6" x14ac:dyDescent="0.3">
      <c r="A74" s="6" t="s">
        <v>88</v>
      </c>
      <c r="B74" s="11">
        <v>6102290000000</v>
      </c>
      <c r="C74" s="11">
        <v>6073290000000</v>
      </c>
      <c r="D74" s="8" t="b">
        <f t="shared" si="5"/>
        <v>1</v>
      </c>
      <c r="E74" s="9">
        <f t="shared" si="6"/>
        <v>4.7750066273798877E-3</v>
      </c>
      <c r="F74" s="8">
        <f t="shared" ref="F74:F137" si="7">IFERROR(MIN(4,INT((_xlfn.RANK.AVG(E74,$E$9:$E$178,1)-1)*5/COUNT($E$9:$E$178))),NA())</f>
        <v>1</v>
      </c>
    </row>
    <row r="75" spans="1:6" x14ac:dyDescent="0.3">
      <c r="A75" s="6" t="s">
        <v>89</v>
      </c>
      <c r="B75" s="11">
        <v>2800620000000</v>
      </c>
      <c r="C75" s="11">
        <v>2655880000000</v>
      </c>
      <c r="D75" s="8" t="b">
        <f t="shared" si="5"/>
        <v>1</v>
      </c>
      <c r="E75" s="9">
        <f t="shared" si="6"/>
        <v>5.449794418422519E-2</v>
      </c>
      <c r="F75" s="8">
        <f t="shared" si="7"/>
        <v>3</v>
      </c>
    </row>
    <row r="76" spans="1:6" x14ac:dyDescent="0.3">
      <c r="A76" s="6" t="s">
        <v>90</v>
      </c>
      <c r="B76" s="11">
        <v>1033330000000</v>
      </c>
      <c r="C76" s="11">
        <v>998463000000</v>
      </c>
      <c r="D76" s="8" t="b">
        <f t="shared" si="5"/>
        <v>1</v>
      </c>
      <c r="E76" s="9">
        <f t="shared" si="6"/>
        <v>3.4920673074515532E-2</v>
      </c>
      <c r="F76" s="8">
        <f t="shared" si="7"/>
        <v>3</v>
      </c>
    </row>
    <row r="77" spans="1:6" x14ac:dyDescent="0.3">
      <c r="A77" s="6" t="s">
        <v>91</v>
      </c>
      <c r="B77" s="11">
        <v>2389090000000</v>
      </c>
      <c r="C77" s="11">
        <v>1736940000000</v>
      </c>
      <c r="D77" s="8" t="b">
        <f t="shared" si="5"/>
        <v>1</v>
      </c>
      <c r="E77" s="9">
        <f t="shared" si="6"/>
        <v>0.37545914078782228</v>
      </c>
      <c r="F77" s="8">
        <f t="shared" si="7"/>
        <v>4</v>
      </c>
    </row>
    <row r="78" spans="1:6" x14ac:dyDescent="0.3">
      <c r="A78" s="6" t="s">
        <v>92</v>
      </c>
      <c r="B78" s="11">
        <v>990359000000</v>
      </c>
      <c r="C78" s="11">
        <v>784436000000</v>
      </c>
      <c r="D78" s="8" t="b">
        <f t="shared" si="5"/>
        <v>1</v>
      </c>
      <c r="E78" s="9">
        <f t="shared" si="6"/>
        <v>0.26251089955076001</v>
      </c>
      <c r="F78" s="8">
        <f t="shared" si="7"/>
        <v>4</v>
      </c>
    </row>
    <row r="79" spans="1:6" x14ac:dyDescent="0.3">
      <c r="A79" s="6" t="s">
        <v>93</v>
      </c>
      <c r="B79" s="11">
        <v>1240780000000</v>
      </c>
      <c r="C79" s="11">
        <v>1172170000000</v>
      </c>
      <c r="D79" s="8" t="b">
        <f t="shared" si="5"/>
        <v>1</v>
      </c>
      <c r="E79" s="9">
        <f t="shared" si="6"/>
        <v>5.8532465427369749E-2</v>
      </c>
      <c r="F79" s="8">
        <f t="shared" si="7"/>
        <v>3</v>
      </c>
    </row>
    <row r="80" spans="1:6" x14ac:dyDescent="0.3">
      <c r="A80" s="6" t="s">
        <v>94</v>
      </c>
      <c r="B80" s="11">
        <v>1955590000000</v>
      </c>
      <c r="C80" s="11">
        <v>1654670000000</v>
      </c>
      <c r="D80" s="8" t="b">
        <f t="shared" si="5"/>
        <v>1</v>
      </c>
      <c r="E80" s="9">
        <f t="shared" si="6"/>
        <v>0.18186103573522214</v>
      </c>
      <c r="F80" s="8">
        <f t="shared" si="7"/>
        <v>4</v>
      </c>
    </row>
    <row r="81" spans="1:6" x14ac:dyDescent="0.3">
      <c r="A81" s="6" t="s">
        <v>95</v>
      </c>
      <c r="B81" s="11">
        <v>869667000000</v>
      </c>
      <c r="C81" s="11">
        <v>895750000000</v>
      </c>
      <c r="D81" s="8" t="b">
        <f t="shared" si="5"/>
        <v>1</v>
      </c>
      <c r="E81" s="9">
        <f t="shared" si="6"/>
        <v>-2.9118615685180017E-2</v>
      </c>
      <c r="F81" s="8">
        <f t="shared" si="7"/>
        <v>0</v>
      </c>
    </row>
    <row r="82" spans="1:6" x14ac:dyDescent="0.3">
      <c r="A82" s="6" t="s">
        <v>96</v>
      </c>
      <c r="B82" s="11">
        <v>1482490000000</v>
      </c>
      <c r="C82" s="11">
        <v>1442130000000</v>
      </c>
      <c r="D82" s="8" t="b">
        <f t="shared" si="5"/>
        <v>1</v>
      </c>
      <c r="E82" s="9">
        <f t="shared" si="6"/>
        <v>2.7986381255504011E-2</v>
      </c>
      <c r="F82" s="8">
        <f t="shared" si="7"/>
        <v>3</v>
      </c>
    </row>
    <row r="83" spans="1:6" x14ac:dyDescent="0.3">
      <c r="A83" s="6" t="s">
        <v>97</v>
      </c>
      <c r="B83" s="11">
        <v>1794030000000</v>
      </c>
      <c r="C83" s="11">
        <v>1682450000000</v>
      </c>
      <c r="D83" s="8" t="b">
        <f t="shared" si="5"/>
        <v>1</v>
      </c>
      <c r="E83" s="9">
        <f t="shared" si="6"/>
        <v>6.6319950072810482E-2</v>
      </c>
      <c r="F83" s="8">
        <f t="shared" si="7"/>
        <v>4</v>
      </c>
    </row>
    <row r="84" spans="1:6" x14ac:dyDescent="0.3">
      <c r="A84" s="6" t="s">
        <v>98</v>
      </c>
      <c r="B84" s="11">
        <v>1153420000000</v>
      </c>
      <c r="C84" s="11">
        <v>1151710000000</v>
      </c>
      <c r="D84" s="8" t="b">
        <f t="shared" si="5"/>
        <v>1</v>
      </c>
      <c r="E84" s="9">
        <f t="shared" si="6"/>
        <v>1.4847487648800479E-3</v>
      </c>
      <c r="F84" s="8">
        <f t="shared" si="7"/>
        <v>1</v>
      </c>
    </row>
    <row r="85" spans="1:6" x14ac:dyDescent="0.3">
      <c r="A85" s="6" t="s">
        <v>99</v>
      </c>
      <c r="B85" s="11">
        <v>307054000000</v>
      </c>
      <c r="C85" s="11">
        <v>309126000000</v>
      </c>
      <c r="D85" s="8" t="b">
        <f t="shared" si="5"/>
        <v>1</v>
      </c>
      <c r="E85" s="9">
        <f t="shared" si="6"/>
        <v>-6.7027684504053367E-3</v>
      </c>
      <c r="F85" s="8">
        <f t="shared" si="7"/>
        <v>1</v>
      </c>
    </row>
    <row r="86" spans="1:6" x14ac:dyDescent="0.3">
      <c r="A86" s="6" t="s">
        <v>100</v>
      </c>
      <c r="B86" s="11">
        <v>441983000000</v>
      </c>
      <c r="C86" s="11">
        <v>444017000000</v>
      </c>
      <c r="D86" s="8" t="b">
        <f t="shared" si="5"/>
        <v>1</v>
      </c>
      <c r="E86" s="9">
        <f t="shared" si="6"/>
        <v>-4.5809056860435524E-3</v>
      </c>
      <c r="F86" s="8">
        <f t="shared" si="7"/>
        <v>1</v>
      </c>
    </row>
    <row r="87" spans="1:6" x14ac:dyDescent="0.3">
      <c r="A87" s="6" t="s">
        <v>101</v>
      </c>
      <c r="B87" s="11">
        <v>705109000000</v>
      </c>
      <c r="C87" s="11">
        <v>613350000000</v>
      </c>
      <c r="D87" s="8" t="b">
        <f t="shared" si="5"/>
        <v>1</v>
      </c>
      <c r="E87" s="9">
        <f t="shared" si="6"/>
        <v>0.14960299991848047</v>
      </c>
      <c r="F87" s="8">
        <f t="shared" si="7"/>
        <v>4</v>
      </c>
    </row>
    <row r="88" spans="1:6" x14ac:dyDescent="0.3">
      <c r="A88" s="6" t="s">
        <v>102</v>
      </c>
      <c r="B88" s="11">
        <v>659069000000</v>
      </c>
      <c r="C88" s="11">
        <v>633394000000</v>
      </c>
      <c r="D88" s="8" t="b">
        <f t="shared" si="5"/>
        <v>1</v>
      </c>
      <c r="E88" s="9">
        <f t="shared" si="6"/>
        <v>4.0535590801302188E-2</v>
      </c>
      <c r="F88" s="8">
        <f t="shared" si="7"/>
        <v>3</v>
      </c>
    </row>
    <row r="89" spans="1:6" x14ac:dyDescent="0.3">
      <c r="A89" s="6" t="s">
        <v>103</v>
      </c>
      <c r="B89" s="11">
        <v>2257760000000</v>
      </c>
      <c r="C89" s="11">
        <v>2251120000000</v>
      </c>
      <c r="D89" s="8" t="b">
        <f t="shared" si="5"/>
        <v>1</v>
      </c>
      <c r="E89" s="9">
        <f t="shared" si="6"/>
        <v>2.9496428444507625E-3</v>
      </c>
      <c r="F89" s="8">
        <f t="shared" si="7"/>
        <v>1</v>
      </c>
    </row>
    <row r="90" spans="1:6" x14ac:dyDescent="0.3">
      <c r="A90" s="6" t="s">
        <v>104</v>
      </c>
      <c r="B90" s="11">
        <v>818962000000</v>
      </c>
      <c r="C90" s="11">
        <v>772919000000</v>
      </c>
      <c r="D90" s="8" t="b">
        <f t="shared" si="5"/>
        <v>1</v>
      </c>
      <c r="E90" s="9">
        <f t="shared" si="6"/>
        <v>5.9570278386221587E-2</v>
      </c>
      <c r="F90" s="8">
        <f t="shared" si="7"/>
        <v>3</v>
      </c>
    </row>
    <row r="91" spans="1:6" x14ac:dyDescent="0.3">
      <c r="A91" s="6" t="s">
        <v>105</v>
      </c>
      <c r="B91" s="11">
        <v>1934930000000</v>
      </c>
      <c r="C91" s="11">
        <v>1865250000000</v>
      </c>
      <c r="D91" s="8" t="b">
        <f t="shared" si="5"/>
        <v>1</v>
      </c>
      <c r="E91" s="9">
        <f t="shared" si="6"/>
        <v>3.7356922664522181E-2</v>
      </c>
      <c r="F91" s="8">
        <f t="shared" si="7"/>
        <v>3</v>
      </c>
    </row>
    <row r="92" spans="1:6" x14ac:dyDescent="0.3">
      <c r="A92" s="6" t="s">
        <v>106</v>
      </c>
      <c r="B92" s="11">
        <v>2898160000000</v>
      </c>
      <c r="C92" s="11">
        <v>2912390000000</v>
      </c>
      <c r="D92" s="8" t="b">
        <f t="shared" si="5"/>
        <v>1</v>
      </c>
      <c r="E92" s="9">
        <f t="shared" si="6"/>
        <v>-4.8860214463035513E-3</v>
      </c>
      <c r="F92" s="8">
        <f t="shared" si="7"/>
        <v>1</v>
      </c>
    </row>
    <row r="93" spans="1:6" x14ac:dyDescent="0.3">
      <c r="A93" s="6" t="s">
        <v>107</v>
      </c>
      <c r="B93" s="11">
        <v>928629000000</v>
      </c>
      <c r="C93" s="11">
        <v>879453000000</v>
      </c>
      <c r="D93" s="8" t="b">
        <f t="shared" si="5"/>
        <v>1</v>
      </c>
      <c r="E93" s="9">
        <f t="shared" si="6"/>
        <v>5.5916575416764737E-2</v>
      </c>
      <c r="F93" s="8">
        <f t="shared" si="7"/>
        <v>3</v>
      </c>
    </row>
    <row r="94" spans="1:6" x14ac:dyDescent="0.3">
      <c r="A94" s="6" t="s">
        <v>108</v>
      </c>
      <c r="B94" s="11">
        <v>665485000000</v>
      </c>
      <c r="C94" s="11">
        <v>647746000000</v>
      </c>
      <c r="D94" s="8" t="b">
        <f t="shared" si="5"/>
        <v>1</v>
      </c>
      <c r="E94" s="9">
        <f t="shared" si="6"/>
        <v>2.7385734531745469E-2</v>
      </c>
      <c r="F94" s="8">
        <f t="shared" si="7"/>
        <v>3</v>
      </c>
    </row>
    <row r="95" spans="1:6" x14ac:dyDescent="0.3">
      <c r="A95" s="6" t="s">
        <v>109</v>
      </c>
      <c r="B95" s="11">
        <v>1339010000000</v>
      </c>
      <c r="C95" s="11">
        <v>1346630000000</v>
      </c>
      <c r="D95" s="8" t="b">
        <f t="shared" si="5"/>
        <v>1</v>
      </c>
      <c r="E95" s="9">
        <f t="shared" si="6"/>
        <v>-5.6585699115569979E-3</v>
      </c>
      <c r="F95" s="8">
        <f t="shared" si="7"/>
        <v>1</v>
      </c>
    </row>
    <row r="96" spans="1:6" x14ac:dyDescent="0.3">
      <c r="A96" s="6" t="s">
        <v>110</v>
      </c>
      <c r="B96" s="11">
        <v>3286480000000</v>
      </c>
      <c r="C96" s="11">
        <v>2939040000000</v>
      </c>
      <c r="D96" s="8" t="b">
        <f t="shared" si="5"/>
        <v>1</v>
      </c>
      <c r="E96" s="9">
        <f t="shared" si="6"/>
        <v>0.11821547171865643</v>
      </c>
      <c r="F96" s="8">
        <f t="shared" si="7"/>
        <v>4</v>
      </c>
    </row>
    <row r="97" spans="1:6" x14ac:dyDescent="0.3">
      <c r="A97" s="6" t="s">
        <v>111</v>
      </c>
      <c r="B97" s="11">
        <v>587013000000</v>
      </c>
      <c r="C97" s="11">
        <v>685055000000</v>
      </c>
      <c r="D97" s="8" t="b">
        <f t="shared" si="5"/>
        <v>1</v>
      </c>
      <c r="E97" s="9">
        <f t="shared" si="6"/>
        <v>-0.14311551627241609</v>
      </c>
      <c r="F97" s="8">
        <f t="shared" si="7"/>
        <v>0</v>
      </c>
    </row>
    <row r="98" spans="1:6" x14ac:dyDescent="0.3">
      <c r="A98" s="6" t="s">
        <v>112</v>
      </c>
      <c r="B98" s="11">
        <v>324093000000</v>
      </c>
      <c r="C98" s="11">
        <v>320856000000</v>
      </c>
      <c r="D98" s="8" t="b">
        <f t="shared" si="5"/>
        <v>1</v>
      </c>
      <c r="E98" s="9">
        <f t="shared" si="6"/>
        <v>1.0088637893634528E-2</v>
      </c>
      <c r="F98" s="8">
        <f t="shared" si="7"/>
        <v>2</v>
      </c>
    </row>
    <row r="99" spans="1:6" x14ac:dyDescent="0.3">
      <c r="A99" s="6" t="s">
        <v>113</v>
      </c>
      <c r="B99" s="11">
        <v>292286000000</v>
      </c>
      <c r="C99" s="11">
        <v>290316000000</v>
      </c>
      <c r="D99" s="8" t="b">
        <f t="shared" si="5"/>
        <v>1</v>
      </c>
      <c r="E99" s="9">
        <f t="shared" si="6"/>
        <v>6.7857093649678285E-3</v>
      </c>
      <c r="F99" s="8">
        <f t="shared" si="7"/>
        <v>2</v>
      </c>
    </row>
    <row r="100" spans="1:6" x14ac:dyDescent="0.3">
      <c r="A100" s="6" t="s">
        <v>114</v>
      </c>
      <c r="B100" s="11">
        <v>458651000000</v>
      </c>
      <c r="C100" s="11">
        <v>410381000000</v>
      </c>
      <c r="D100" s="8" t="b">
        <f t="shared" si="5"/>
        <v>1</v>
      </c>
      <c r="E100" s="9">
        <f t="shared" si="6"/>
        <v>0.11762240454601942</v>
      </c>
      <c r="F100" s="8">
        <f t="shared" si="7"/>
        <v>4</v>
      </c>
    </row>
    <row r="101" spans="1:6" x14ac:dyDescent="0.3">
      <c r="A101" s="6" t="s">
        <v>115</v>
      </c>
      <c r="B101" s="11">
        <v>1045330000000</v>
      </c>
      <c r="C101" s="11">
        <v>1056200000000</v>
      </c>
      <c r="D101" s="8" t="b">
        <f t="shared" si="5"/>
        <v>1</v>
      </c>
      <c r="E101" s="9">
        <f t="shared" si="6"/>
        <v>-1.0291611437227798E-2</v>
      </c>
      <c r="F101" s="8">
        <f t="shared" si="7"/>
        <v>1</v>
      </c>
    </row>
    <row r="102" spans="1:6" x14ac:dyDescent="0.3">
      <c r="A102" s="6" t="s">
        <v>116</v>
      </c>
      <c r="B102" s="11">
        <v>1138290000000</v>
      </c>
      <c r="C102" s="11">
        <v>1153380000000</v>
      </c>
      <c r="D102" s="8" t="b">
        <f t="shared" si="5"/>
        <v>1</v>
      </c>
      <c r="E102" s="9">
        <f t="shared" si="6"/>
        <v>-1.3083285647401551E-2</v>
      </c>
      <c r="F102" s="8">
        <f t="shared" si="7"/>
        <v>1</v>
      </c>
    </row>
    <row r="103" spans="1:6" x14ac:dyDescent="0.3">
      <c r="A103" s="6" t="s">
        <v>117</v>
      </c>
      <c r="B103" s="11">
        <v>1369350000000</v>
      </c>
      <c r="C103" s="11">
        <v>1348290000000</v>
      </c>
      <c r="D103" s="8" t="b">
        <f t="shared" si="5"/>
        <v>1</v>
      </c>
      <c r="E103" s="9">
        <f t="shared" si="6"/>
        <v>1.5619785061077364E-2</v>
      </c>
      <c r="F103" s="8">
        <f t="shared" si="7"/>
        <v>2</v>
      </c>
    </row>
    <row r="104" spans="1:6" x14ac:dyDescent="0.3">
      <c r="A104" s="6" t="s">
        <v>118</v>
      </c>
      <c r="B104" s="11">
        <v>246267000000</v>
      </c>
      <c r="C104" s="11">
        <v>242075000000</v>
      </c>
      <c r="D104" s="8" t="b">
        <f t="shared" si="5"/>
        <v>1</v>
      </c>
      <c r="E104" s="9">
        <f t="shared" si="6"/>
        <v>1.731694722709904E-2</v>
      </c>
      <c r="F104" s="8">
        <f t="shared" si="7"/>
        <v>2</v>
      </c>
    </row>
    <row r="105" spans="1:6" x14ac:dyDescent="0.3">
      <c r="A105" s="6" t="s">
        <v>119</v>
      </c>
      <c r="B105" s="11">
        <v>-12055555556</v>
      </c>
      <c r="C105" s="11">
        <v>-82750000000</v>
      </c>
      <c r="D105" s="8" t="b">
        <f t="shared" ref="D105:D136" si="8">AND(ISNUMBER(B105),ISNUMBER(C105),C105&lt;&gt;0)</f>
        <v>1</v>
      </c>
      <c r="E105" s="9">
        <f t="shared" ref="E105:E136" si="9">IFERROR(IF(AND(B105&lt;100000000000,(B105-C105)/ABS(C105)&gt;0.5),0,(B105-C105)/ABS(C105)),NA())</f>
        <v>0</v>
      </c>
      <c r="F105" s="8">
        <f t="shared" si="7"/>
        <v>1</v>
      </c>
    </row>
    <row r="106" spans="1:6" x14ac:dyDescent="0.3">
      <c r="A106" s="6" t="s">
        <v>120</v>
      </c>
      <c r="B106" s="11">
        <v>1110160000000</v>
      </c>
      <c r="C106" s="11">
        <v>922408000000</v>
      </c>
      <c r="D106" s="8" t="b">
        <f t="shared" si="8"/>
        <v>1</v>
      </c>
      <c r="E106" s="9">
        <f t="shared" si="9"/>
        <v>0.20354550264091378</v>
      </c>
      <c r="F106" s="8">
        <f t="shared" si="7"/>
        <v>4</v>
      </c>
    </row>
    <row r="107" spans="1:6" x14ac:dyDescent="0.3">
      <c r="A107" s="6" t="s">
        <v>121</v>
      </c>
      <c r="B107" s="11">
        <v>2137910000000</v>
      </c>
      <c r="C107" s="11">
        <v>2122730000000</v>
      </c>
      <c r="D107" s="8" t="b">
        <f t="shared" si="8"/>
        <v>1</v>
      </c>
      <c r="E107" s="9">
        <f t="shared" si="9"/>
        <v>7.1511685423958768E-3</v>
      </c>
      <c r="F107" s="8">
        <f t="shared" si="7"/>
        <v>2</v>
      </c>
    </row>
    <row r="108" spans="1:6" x14ac:dyDescent="0.3">
      <c r="A108" s="6" t="s">
        <v>122</v>
      </c>
      <c r="B108" s="11">
        <v>359152000000</v>
      </c>
      <c r="C108" s="11">
        <v>342771000000</v>
      </c>
      <c r="D108" s="8" t="b">
        <f t="shared" si="8"/>
        <v>1</v>
      </c>
      <c r="E108" s="9">
        <f t="shared" si="9"/>
        <v>4.7789923885042787E-2</v>
      </c>
      <c r="F108" s="8">
        <f t="shared" si="7"/>
        <v>3</v>
      </c>
    </row>
    <row r="109" spans="1:6" x14ac:dyDescent="0.3">
      <c r="A109" s="6" t="s">
        <v>123</v>
      </c>
      <c r="B109" s="11">
        <v>343604000000</v>
      </c>
      <c r="C109" s="11">
        <v>389731000000</v>
      </c>
      <c r="D109" s="8" t="b">
        <f t="shared" si="8"/>
        <v>1</v>
      </c>
      <c r="E109" s="9">
        <f t="shared" si="9"/>
        <v>-0.1183559942627094</v>
      </c>
      <c r="F109" s="8">
        <f t="shared" si="7"/>
        <v>0</v>
      </c>
    </row>
    <row r="110" spans="1:6" x14ac:dyDescent="0.3">
      <c r="A110" s="6" t="s">
        <v>124</v>
      </c>
      <c r="B110" s="11">
        <v>507333000000</v>
      </c>
      <c r="C110" s="11">
        <v>504250000000</v>
      </c>
      <c r="D110" s="8" t="b">
        <f t="shared" si="8"/>
        <v>1</v>
      </c>
      <c r="E110" s="9">
        <f t="shared" si="9"/>
        <v>6.114030738720873E-3</v>
      </c>
      <c r="F110" s="8">
        <f t="shared" si="7"/>
        <v>2</v>
      </c>
    </row>
    <row r="111" spans="1:6" x14ac:dyDescent="0.3">
      <c r="A111" s="6" t="s">
        <v>125</v>
      </c>
      <c r="B111" s="11">
        <v>136667000000</v>
      </c>
      <c r="C111" s="11">
        <v>129400000000</v>
      </c>
      <c r="D111" s="8" t="b">
        <f t="shared" si="8"/>
        <v>1</v>
      </c>
      <c r="E111" s="9">
        <f t="shared" si="9"/>
        <v>5.6159196290571874E-2</v>
      </c>
      <c r="F111" s="8">
        <f t="shared" si="7"/>
        <v>3</v>
      </c>
    </row>
    <row r="112" spans="1:6" x14ac:dyDescent="0.3">
      <c r="A112" s="6" t="s">
        <v>126</v>
      </c>
      <c r="B112" s="11">
        <v>201339000000</v>
      </c>
      <c r="C112" s="11">
        <v>170742000000</v>
      </c>
      <c r="D112" s="8" t="b">
        <f t="shared" si="8"/>
        <v>1</v>
      </c>
      <c r="E112" s="9">
        <f t="shared" si="9"/>
        <v>0.17920019678813648</v>
      </c>
      <c r="F112" s="8">
        <f t="shared" si="7"/>
        <v>4</v>
      </c>
    </row>
    <row r="113" spans="1:6" x14ac:dyDescent="0.3">
      <c r="A113" s="6" t="s">
        <v>127</v>
      </c>
      <c r="B113" s="11">
        <v>516970000000</v>
      </c>
      <c r="C113" s="11">
        <v>516068000000</v>
      </c>
      <c r="D113" s="8" t="b">
        <f t="shared" si="8"/>
        <v>1</v>
      </c>
      <c r="E113" s="9">
        <f t="shared" si="9"/>
        <v>1.7478316810962896E-3</v>
      </c>
      <c r="F113" s="8">
        <f t="shared" si="7"/>
        <v>1</v>
      </c>
    </row>
    <row r="114" spans="1:6" x14ac:dyDescent="0.3">
      <c r="A114" s="6" t="s">
        <v>128</v>
      </c>
      <c r="B114" s="11">
        <v>466233000000</v>
      </c>
      <c r="C114" s="11">
        <v>491765000000</v>
      </c>
      <c r="D114" s="8" t="b">
        <f t="shared" si="8"/>
        <v>1</v>
      </c>
      <c r="E114" s="9">
        <f t="shared" si="9"/>
        <v>-5.1919107703882951E-2</v>
      </c>
      <c r="F114" s="8">
        <f t="shared" si="7"/>
        <v>0</v>
      </c>
    </row>
    <row r="115" spans="1:6" x14ac:dyDescent="0.3">
      <c r="A115" s="6" t="s">
        <v>129</v>
      </c>
      <c r="B115" s="11">
        <v>-153238000000</v>
      </c>
      <c r="C115" s="11">
        <v>-225755000000</v>
      </c>
      <c r="D115" s="8" t="b">
        <f t="shared" si="8"/>
        <v>1</v>
      </c>
      <c r="E115" s="9">
        <f t="shared" si="9"/>
        <v>0.32121990653584637</v>
      </c>
      <c r="F115" s="8">
        <f t="shared" si="7"/>
        <v>4</v>
      </c>
    </row>
    <row r="116" spans="1:6" x14ac:dyDescent="0.3">
      <c r="A116" s="6" t="s">
        <v>130</v>
      </c>
      <c r="B116" s="11">
        <v>754948000000</v>
      </c>
      <c r="C116" s="11">
        <v>767105000000</v>
      </c>
      <c r="D116" s="8" t="b">
        <f t="shared" si="8"/>
        <v>1</v>
      </c>
      <c r="E116" s="9">
        <f t="shared" si="9"/>
        <v>-1.5847895659655459E-2</v>
      </c>
      <c r="F116" s="8">
        <f t="shared" si="7"/>
        <v>0</v>
      </c>
    </row>
    <row r="117" spans="1:6" x14ac:dyDescent="0.3">
      <c r="A117" s="6" t="s">
        <v>131</v>
      </c>
      <c r="B117" s="11">
        <v>74115384615</v>
      </c>
      <c r="C117" s="11">
        <v>72011363636</v>
      </c>
      <c r="D117" s="8" t="b">
        <f t="shared" si="8"/>
        <v>1</v>
      </c>
      <c r="E117" s="9">
        <f t="shared" si="9"/>
        <v>2.921790218603992E-2</v>
      </c>
      <c r="F117" s="8">
        <f t="shared" si="7"/>
        <v>3</v>
      </c>
    </row>
    <row r="118" spans="1:6" x14ac:dyDescent="0.3">
      <c r="A118" s="6" t="s">
        <v>132</v>
      </c>
      <c r="B118" s="11">
        <v>244882000000</v>
      </c>
      <c r="C118" s="11">
        <v>243673000000</v>
      </c>
      <c r="D118" s="8" t="b">
        <f t="shared" si="8"/>
        <v>1</v>
      </c>
      <c r="E118" s="9">
        <f t="shared" si="9"/>
        <v>4.9615673464027607E-3</v>
      </c>
      <c r="F118" s="8">
        <f t="shared" si="7"/>
        <v>1</v>
      </c>
    </row>
    <row r="119" spans="1:6" x14ac:dyDescent="0.3">
      <c r="A119" s="6" t="s">
        <v>133</v>
      </c>
      <c r="B119" s="11">
        <v>647493000000</v>
      </c>
      <c r="C119" s="11">
        <v>626651000000</v>
      </c>
      <c r="D119" s="8" t="b">
        <f t="shared" si="8"/>
        <v>1</v>
      </c>
      <c r="E119" s="9">
        <f t="shared" si="9"/>
        <v>3.3259342121850916E-2</v>
      </c>
      <c r="F119" s="8">
        <f t="shared" si="7"/>
        <v>3</v>
      </c>
    </row>
    <row r="120" spans="1:6" x14ac:dyDescent="0.3">
      <c r="A120" s="6" t="s">
        <v>134</v>
      </c>
      <c r="B120" s="11">
        <v>257544000000</v>
      </c>
      <c r="C120" s="11">
        <v>256930000000</v>
      </c>
      <c r="D120" s="8" t="b">
        <f t="shared" si="8"/>
        <v>1</v>
      </c>
      <c r="E120" s="9">
        <f t="shared" si="9"/>
        <v>2.3897559646596351E-3</v>
      </c>
      <c r="F120" s="8">
        <f t="shared" si="7"/>
        <v>1</v>
      </c>
    </row>
    <row r="121" spans="1:6" x14ac:dyDescent="0.3">
      <c r="A121" s="6" t="s">
        <v>135</v>
      </c>
      <c r="B121" s="11">
        <v>213075000000</v>
      </c>
      <c r="C121" s="11">
        <v>212555000000</v>
      </c>
      <c r="D121" s="8" t="b">
        <f t="shared" si="8"/>
        <v>1</v>
      </c>
      <c r="E121" s="9">
        <f t="shared" si="9"/>
        <v>2.4464256310131496E-3</v>
      </c>
      <c r="F121" s="8">
        <f t="shared" si="7"/>
        <v>1</v>
      </c>
    </row>
    <row r="122" spans="1:6" x14ac:dyDescent="0.3">
      <c r="A122" s="6" t="s">
        <v>136</v>
      </c>
      <c r="B122" s="11">
        <v>358483000000</v>
      </c>
      <c r="C122" s="11">
        <v>361609000000</v>
      </c>
      <c r="D122" s="8" t="b">
        <f t="shared" si="8"/>
        <v>1</v>
      </c>
      <c r="E122" s="9">
        <f t="shared" si="9"/>
        <v>-8.6446963432879158E-3</v>
      </c>
      <c r="F122" s="8">
        <f t="shared" si="7"/>
        <v>1</v>
      </c>
    </row>
    <row r="123" spans="1:6" x14ac:dyDescent="0.3">
      <c r="A123" s="6" t="s">
        <v>137</v>
      </c>
      <c r="B123" s="11">
        <v>258095000000</v>
      </c>
      <c r="C123" s="11">
        <v>239709000000</v>
      </c>
      <c r="D123" s="8" t="b">
        <f t="shared" si="8"/>
        <v>1</v>
      </c>
      <c r="E123" s="9">
        <f t="shared" si="9"/>
        <v>7.6701333700445129E-2</v>
      </c>
      <c r="F123" s="8">
        <f t="shared" si="7"/>
        <v>4</v>
      </c>
    </row>
    <row r="124" spans="1:6" x14ac:dyDescent="0.3">
      <c r="A124" s="6" t="s">
        <v>138</v>
      </c>
      <c r="B124" s="11">
        <v>597678000000</v>
      </c>
      <c r="C124" s="11">
        <v>594773000000</v>
      </c>
      <c r="D124" s="8" t="b">
        <f t="shared" si="8"/>
        <v>1</v>
      </c>
      <c r="E124" s="9">
        <f t="shared" si="9"/>
        <v>4.8842163312726034E-3</v>
      </c>
      <c r="F124" s="8">
        <f t="shared" si="7"/>
        <v>1</v>
      </c>
    </row>
    <row r="125" spans="1:6" x14ac:dyDescent="0.3">
      <c r="A125" s="6" t="s">
        <v>139</v>
      </c>
      <c r="B125" s="11">
        <v>1072480000000</v>
      </c>
      <c r="C125" s="11">
        <v>1114970000000</v>
      </c>
      <c r="D125" s="8" t="b">
        <f t="shared" si="8"/>
        <v>1</v>
      </c>
      <c r="E125" s="9">
        <f t="shared" si="9"/>
        <v>-3.8108648663192732E-2</v>
      </c>
      <c r="F125" s="8">
        <f t="shared" si="7"/>
        <v>0</v>
      </c>
    </row>
    <row r="126" spans="1:6" x14ac:dyDescent="0.3">
      <c r="A126" s="6" t="s">
        <v>140</v>
      </c>
      <c r="B126" s="11">
        <v>350175000000</v>
      </c>
      <c r="C126" s="11">
        <v>361190000000</v>
      </c>
      <c r="D126" s="8" t="b">
        <f t="shared" si="8"/>
        <v>1</v>
      </c>
      <c r="E126" s="9">
        <f t="shared" si="9"/>
        <v>-3.0496414629419419E-2</v>
      </c>
      <c r="F126" s="8">
        <f t="shared" si="7"/>
        <v>0</v>
      </c>
    </row>
    <row r="127" spans="1:6" x14ac:dyDescent="0.3">
      <c r="A127" s="6" t="s">
        <v>141</v>
      </c>
      <c r="B127" s="11">
        <v>715383000000</v>
      </c>
      <c r="C127" s="11">
        <v>687569000000</v>
      </c>
      <c r="D127" s="8" t="b">
        <f t="shared" si="8"/>
        <v>1</v>
      </c>
      <c r="E127" s="9">
        <f t="shared" si="9"/>
        <v>4.0452667295936842E-2</v>
      </c>
      <c r="F127" s="8">
        <f t="shared" si="7"/>
        <v>3</v>
      </c>
    </row>
    <row r="128" spans="1:6" x14ac:dyDescent="0.3">
      <c r="A128" s="6" t="s">
        <v>142</v>
      </c>
      <c r="B128" s="11">
        <v>297579000000</v>
      </c>
      <c r="C128" s="11">
        <v>289837000000</v>
      </c>
      <c r="D128" s="8" t="b">
        <f t="shared" si="8"/>
        <v>1</v>
      </c>
      <c r="E128" s="9">
        <f t="shared" si="9"/>
        <v>2.6711565466106812E-2</v>
      </c>
      <c r="F128" s="8">
        <f t="shared" si="7"/>
        <v>2</v>
      </c>
    </row>
    <row r="129" spans="1:6" x14ac:dyDescent="0.3">
      <c r="A129" s="6" t="s">
        <v>143</v>
      </c>
      <c r="B129" s="11">
        <v>327793000000</v>
      </c>
      <c r="C129" s="11">
        <v>324738000000</v>
      </c>
      <c r="D129" s="8" t="b">
        <f t="shared" si="8"/>
        <v>1</v>
      </c>
      <c r="E129" s="9">
        <f t="shared" si="9"/>
        <v>9.4075839599923623E-3</v>
      </c>
      <c r="F129" s="8">
        <f t="shared" si="7"/>
        <v>2</v>
      </c>
    </row>
    <row r="130" spans="1:6" x14ac:dyDescent="0.3">
      <c r="A130" s="6" t="s">
        <v>144</v>
      </c>
      <c r="B130" s="11">
        <v>567108000000</v>
      </c>
      <c r="C130" s="11">
        <v>565392000000</v>
      </c>
      <c r="D130" s="8" t="b">
        <f t="shared" si="8"/>
        <v>1</v>
      </c>
      <c r="E130" s="9">
        <f t="shared" si="9"/>
        <v>3.0350623991849904E-3</v>
      </c>
      <c r="F130" s="8">
        <f t="shared" si="7"/>
        <v>1</v>
      </c>
    </row>
    <row r="131" spans="1:6" x14ac:dyDescent="0.3">
      <c r="A131" s="6" t="s">
        <v>145</v>
      </c>
      <c r="B131" s="11">
        <v>445254000000</v>
      </c>
      <c r="C131" s="11">
        <v>433187000000</v>
      </c>
      <c r="D131" s="8" t="b">
        <f t="shared" si="8"/>
        <v>1</v>
      </c>
      <c r="E131" s="9">
        <f t="shared" si="9"/>
        <v>2.7856329945266132E-2</v>
      </c>
      <c r="F131" s="8">
        <f t="shared" si="7"/>
        <v>3</v>
      </c>
    </row>
    <row r="132" spans="1:6" x14ac:dyDescent="0.3">
      <c r="A132" s="6" t="s">
        <v>146</v>
      </c>
      <c r="B132" s="11">
        <v>273248000000</v>
      </c>
      <c r="C132" s="11">
        <v>264021000000</v>
      </c>
      <c r="D132" s="8" t="b">
        <f t="shared" si="8"/>
        <v>1</v>
      </c>
      <c r="E132" s="9">
        <f t="shared" si="9"/>
        <v>3.4947977622992107E-2</v>
      </c>
      <c r="F132" s="8">
        <f t="shared" si="7"/>
        <v>3</v>
      </c>
    </row>
    <row r="133" spans="1:6" x14ac:dyDescent="0.3">
      <c r="A133" s="6" t="s">
        <v>147</v>
      </c>
      <c r="B133" s="11">
        <v>529699000000</v>
      </c>
      <c r="C133" s="11">
        <v>533094000000</v>
      </c>
      <c r="D133" s="8" t="b">
        <f t="shared" si="8"/>
        <v>1</v>
      </c>
      <c r="E133" s="9">
        <f t="shared" si="9"/>
        <v>-6.3684828566819363E-3</v>
      </c>
      <c r="F133" s="8">
        <f t="shared" si="7"/>
        <v>1</v>
      </c>
    </row>
    <row r="134" spans="1:6" x14ac:dyDescent="0.3">
      <c r="A134" s="6" t="s">
        <v>148</v>
      </c>
      <c r="B134" s="11">
        <v>183306000000</v>
      </c>
      <c r="C134" s="11">
        <v>138896000000</v>
      </c>
      <c r="D134" s="8" t="b">
        <f t="shared" si="8"/>
        <v>1</v>
      </c>
      <c r="E134" s="9">
        <f t="shared" si="9"/>
        <v>0.31973562953576778</v>
      </c>
      <c r="F134" s="8">
        <f t="shared" si="7"/>
        <v>4</v>
      </c>
    </row>
    <row r="135" spans="1:6" x14ac:dyDescent="0.3">
      <c r="A135" s="6" t="s">
        <v>149</v>
      </c>
      <c r="B135" s="11">
        <v>287450000000</v>
      </c>
      <c r="C135" s="11">
        <v>279788000000</v>
      </c>
      <c r="D135" s="8" t="b">
        <f t="shared" si="8"/>
        <v>1</v>
      </c>
      <c r="E135" s="9">
        <f t="shared" si="9"/>
        <v>2.7385020086637023E-2</v>
      </c>
      <c r="F135" s="8">
        <f t="shared" si="7"/>
        <v>3</v>
      </c>
    </row>
    <row r="136" spans="1:6" x14ac:dyDescent="0.3">
      <c r="A136" s="6" t="s">
        <v>150</v>
      </c>
      <c r="B136" s="11">
        <v>553308000000</v>
      </c>
      <c r="C136" s="11">
        <v>540713000000</v>
      </c>
      <c r="D136" s="8" t="b">
        <f t="shared" si="8"/>
        <v>1</v>
      </c>
      <c r="E136" s="9">
        <f t="shared" si="9"/>
        <v>2.3293318266806976E-2</v>
      </c>
      <c r="F136" s="8">
        <f t="shared" si="7"/>
        <v>2</v>
      </c>
    </row>
    <row r="137" spans="1:6" x14ac:dyDescent="0.3">
      <c r="A137" s="6" t="s">
        <v>151</v>
      </c>
      <c r="B137" s="11">
        <v>568800000000</v>
      </c>
      <c r="C137" s="11">
        <v>584963000000</v>
      </c>
      <c r="D137" s="8" t="b">
        <f t="shared" ref="D137:D168" si="10">AND(ISNUMBER(B137),ISNUMBER(C137),C137&lt;&gt;0)</f>
        <v>1</v>
      </c>
      <c r="E137" s="9">
        <f t="shared" ref="E137:E168" si="11">IFERROR(IF(AND(B137&lt;100000000000,(B137-C137)/ABS(C137)&gt;0.5),0,(B137-C137)/ABS(C137)),NA())</f>
        <v>-2.7630807418588869E-2</v>
      </c>
      <c r="F137" s="8">
        <f t="shared" si="7"/>
        <v>0</v>
      </c>
    </row>
    <row r="138" spans="1:6" x14ac:dyDescent="0.3">
      <c r="A138" s="6" t="s">
        <v>152</v>
      </c>
      <c r="B138" s="11">
        <v>188503000000</v>
      </c>
      <c r="C138" s="11">
        <v>185123000000</v>
      </c>
      <c r="D138" s="8" t="b">
        <f t="shared" si="10"/>
        <v>1</v>
      </c>
      <c r="E138" s="9">
        <f t="shared" si="11"/>
        <v>1.8258131080416806E-2</v>
      </c>
      <c r="F138" s="8">
        <f t="shared" ref="F138:F178" si="12">IFERROR(MIN(4,INT((_xlfn.RANK.AVG(E138,$E$9:$E$178,1)-1)*5/COUNT($E$9:$E$178))),NA())</f>
        <v>2</v>
      </c>
    </row>
    <row r="139" spans="1:6" x14ac:dyDescent="0.3">
      <c r="A139" s="6" t="s">
        <v>153</v>
      </c>
      <c r="B139" s="11">
        <v>483189000000</v>
      </c>
      <c r="C139" s="11">
        <v>466219000000</v>
      </c>
      <c r="D139" s="8" t="b">
        <f t="shared" si="10"/>
        <v>1</v>
      </c>
      <c r="E139" s="9">
        <f t="shared" si="11"/>
        <v>3.6399202949686738E-2</v>
      </c>
      <c r="F139" s="8">
        <f t="shared" si="12"/>
        <v>3</v>
      </c>
    </row>
    <row r="140" spans="1:6" x14ac:dyDescent="0.3">
      <c r="A140" s="6" t="s">
        <v>154</v>
      </c>
      <c r="B140" s="11">
        <v>561917000000</v>
      </c>
      <c r="C140" s="11">
        <v>570544000000</v>
      </c>
      <c r="D140" s="8" t="b">
        <f t="shared" si="10"/>
        <v>1</v>
      </c>
      <c r="E140" s="9">
        <f t="shared" si="11"/>
        <v>-1.5120656776690316E-2</v>
      </c>
      <c r="F140" s="8">
        <f t="shared" si="12"/>
        <v>1</v>
      </c>
    </row>
    <row r="141" spans="1:6" x14ac:dyDescent="0.3">
      <c r="A141" s="6" t="s">
        <v>155</v>
      </c>
      <c r="B141" s="11">
        <v>687712000000</v>
      </c>
      <c r="C141" s="11">
        <v>695244000000</v>
      </c>
      <c r="D141" s="8" t="b">
        <f t="shared" si="10"/>
        <v>1</v>
      </c>
      <c r="E141" s="9">
        <f t="shared" si="11"/>
        <v>-1.0833606618683513E-2</v>
      </c>
      <c r="F141" s="8">
        <f t="shared" si="12"/>
        <v>1</v>
      </c>
    </row>
    <row r="142" spans="1:6" x14ac:dyDescent="0.3">
      <c r="A142" s="6" t="s">
        <v>156</v>
      </c>
      <c r="B142" s="11">
        <v>232428000000</v>
      </c>
      <c r="C142" s="11">
        <v>236988000000</v>
      </c>
      <c r="D142" s="8" t="b">
        <f t="shared" si="10"/>
        <v>1</v>
      </c>
      <c r="E142" s="9">
        <f t="shared" si="11"/>
        <v>-1.9241480581295257E-2</v>
      </c>
      <c r="F142" s="8">
        <f t="shared" si="12"/>
        <v>0</v>
      </c>
    </row>
    <row r="143" spans="1:6" x14ac:dyDescent="0.3">
      <c r="A143" s="6" t="s">
        <v>157</v>
      </c>
      <c r="B143" s="11">
        <v>617956000000</v>
      </c>
      <c r="C143" s="11">
        <v>541250000000</v>
      </c>
      <c r="D143" s="8" t="b">
        <f t="shared" si="10"/>
        <v>1</v>
      </c>
      <c r="E143" s="9">
        <f t="shared" si="11"/>
        <v>0.14172009237875288</v>
      </c>
      <c r="F143" s="8">
        <f t="shared" si="12"/>
        <v>4</v>
      </c>
    </row>
    <row r="144" spans="1:6" x14ac:dyDescent="0.3">
      <c r="A144" s="6" t="s">
        <v>158</v>
      </c>
      <c r="B144" s="11">
        <v>167802000000</v>
      </c>
      <c r="C144" s="11">
        <v>145772000000</v>
      </c>
      <c r="D144" s="8" t="b">
        <f t="shared" si="10"/>
        <v>1</v>
      </c>
      <c r="E144" s="9">
        <f t="shared" si="11"/>
        <v>0.15112641659577972</v>
      </c>
      <c r="F144" s="8">
        <f t="shared" si="12"/>
        <v>4</v>
      </c>
    </row>
    <row r="145" spans="1:6" x14ac:dyDescent="0.3">
      <c r="A145" s="6" t="s">
        <v>159</v>
      </c>
      <c r="B145" s="11">
        <v>209371000000</v>
      </c>
      <c r="C145" s="11">
        <v>223032000000</v>
      </c>
      <c r="D145" s="8" t="b">
        <f t="shared" si="10"/>
        <v>1</v>
      </c>
      <c r="E145" s="9">
        <f t="shared" si="11"/>
        <v>-6.1251300261845831E-2</v>
      </c>
      <c r="F145" s="8">
        <f t="shared" si="12"/>
        <v>0</v>
      </c>
    </row>
    <row r="146" spans="1:6" x14ac:dyDescent="0.3">
      <c r="A146" s="6" t="s">
        <v>160</v>
      </c>
      <c r="B146" s="11">
        <v>456133000000</v>
      </c>
      <c r="C146" s="11">
        <v>617800000000</v>
      </c>
      <c r="D146" s="8" t="b">
        <f t="shared" si="10"/>
        <v>1</v>
      </c>
      <c r="E146" s="9">
        <f t="shared" si="11"/>
        <v>-0.26168177403690512</v>
      </c>
      <c r="F146" s="8">
        <f t="shared" si="12"/>
        <v>0</v>
      </c>
    </row>
    <row r="147" spans="1:6" x14ac:dyDescent="0.3">
      <c r="A147" s="6" t="s">
        <v>161</v>
      </c>
      <c r="B147" s="11">
        <v>647210000000</v>
      </c>
      <c r="C147" s="11">
        <v>608494000000</v>
      </c>
      <c r="D147" s="8" t="b">
        <f t="shared" si="10"/>
        <v>1</v>
      </c>
      <c r="E147" s="9">
        <f t="shared" si="11"/>
        <v>6.3625935506348458E-2</v>
      </c>
      <c r="F147" s="8">
        <f t="shared" si="12"/>
        <v>3</v>
      </c>
    </row>
    <row r="148" spans="1:6" x14ac:dyDescent="0.3">
      <c r="A148" s="6" t="s">
        <v>162</v>
      </c>
      <c r="B148" s="11">
        <v>-124711000000</v>
      </c>
      <c r="C148" s="11">
        <v>-168739000000</v>
      </c>
      <c r="D148" s="8" t="b">
        <f t="shared" si="10"/>
        <v>1</v>
      </c>
      <c r="E148" s="9">
        <f t="shared" si="11"/>
        <v>0.26092367502474234</v>
      </c>
      <c r="F148" s="8">
        <f t="shared" si="12"/>
        <v>4</v>
      </c>
    </row>
    <row r="149" spans="1:6" x14ac:dyDescent="0.3">
      <c r="A149" s="6" t="s">
        <v>163</v>
      </c>
      <c r="B149" s="11">
        <v>420957000000</v>
      </c>
      <c r="C149" s="11">
        <v>427238000000</v>
      </c>
      <c r="D149" s="8" t="b">
        <f t="shared" si="10"/>
        <v>1</v>
      </c>
      <c r="E149" s="9">
        <f t="shared" si="11"/>
        <v>-1.4701407646323595E-2</v>
      </c>
      <c r="F149" s="8">
        <f t="shared" si="12"/>
        <v>1</v>
      </c>
    </row>
    <row r="150" spans="1:6" x14ac:dyDescent="0.3">
      <c r="A150" s="6" t="s">
        <v>164</v>
      </c>
      <c r="B150" s="11">
        <v>434444000000</v>
      </c>
      <c r="C150" s="11">
        <v>445178000000</v>
      </c>
      <c r="D150" s="8" t="b">
        <f t="shared" si="10"/>
        <v>1</v>
      </c>
      <c r="E150" s="9">
        <f t="shared" si="11"/>
        <v>-2.4111703633153479E-2</v>
      </c>
      <c r="F150" s="8">
        <f t="shared" si="12"/>
        <v>0</v>
      </c>
    </row>
    <row r="151" spans="1:6" x14ac:dyDescent="0.3">
      <c r="A151" s="6" t="s">
        <v>165</v>
      </c>
      <c r="B151" s="11">
        <v>81747619048</v>
      </c>
      <c r="C151" s="11">
        <v>101534000000</v>
      </c>
      <c r="D151" s="8" t="b">
        <f t="shared" si="10"/>
        <v>1</v>
      </c>
      <c r="E151" s="9">
        <f t="shared" si="11"/>
        <v>-0.19487443567671914</v>
      </c>
      <c r="F151" s="8">
        <f t="shared" si="12"/>
        <v>0</v>
      </c>
    </row>
    <row r="152" spans="1:6" x14ac:dyDescent="0.3">
      <c r="A152" s="6" t="s">
        <v>166</v>
      </c>
      <c r="B152" s="11">
        <v>431879000000</v>
      </c>
      <c r="C152" s="11">
        <v>398528000000</v>
      </c>
      <c r="D152" s="8" t="b">
        <f t="shared" si="10"/>
        <v>1</v>
      </c>
      <c r="E152" s="9">
        <f t="shared" si="11"/>
        <v>8.3685462502007382E-2</v>
      </c>
      <c r="F152" s="8">
        <f t="shared" si="12"/>
        <v>4</v>
      </c>
    </row>
    <row r="153" spans="1:6" x14ac:dyDescent="0.3">
      <c r="A153" s="6" t="s">
        <v>167</v>
      </c>
      <c r="B153" s="11">
        <v>447947000000</v>
      </c>
      <c r="C153" s="11">
        <v>443725000000</v>
      </c>
      <c r="D153" s="8" t="b">
        <f t="shared" si="10"/>
        <v>1</v>
      </c>
      <c r="E153" s="9">
        <f t="shared" si="11"/>
        <v>9.5149022480139726E-3</v>
      </c>
      <c r="F153" s="8">
        <f t="shared" si="12"/>
        <v>2</v>
      </c>
    </row>
    <row r="154" spans="1:6" x14ac:dyDescent="0.3">
      <c r="A154" s="6" t="s">
        <v>168</v>
      </c>
      <c r="B154" s="11">
        <v>163978000000</v>
      </c>
      <c r="C154" s="11">
        <v>156871000000</v>
      </c>
      <c r="D154" s="8" t="b">
        <f t="shared" si="10"/>
        <v>1</v>
      </c>
      <c r="E154" s="9">
        <f t="shared" si="11"/>
        <v>4.5304740838013398E-2</v>
      </c>
      <c r="F154" s="8">
        <f t="shared" si="12"/>
        <v>3</v>
      </c>
    </row>
    <row r="155" spans="1:6" x14ac:dyDescent="0.3">
      <c r="A155" s="6" t="s">
        <v>169</v>
      </c>
      <c r="B155" s="11">
        <v>203178000000</v>
      </c>
      <c r="C155" s="11">
        <v>206454000000</v>
      </c>
      <c r="D155" s="8" t="b">
        <f t="shared" si="10"/>
        <v>1</v>
      </c>
      <c r="E155" s="9">
        <f t="shared" si="11"/>
        <v>-1.5867941526926096E-2</v>
      </c>
      <c r="F155" s="8">
        <f t="shared" si="12"/>
        <v>0</v>
      </c>
    </row>
    <row r="156" spans="1:6" x14ac:dyDescent="0.3">
      <c r="A156" s="6" t="s">
        <v>170</v>
      </c>
      <c r="B156" s="11">
        <v>336670000000</v>
      </c>
      <c r="C156" s="11">
        <v>328525000000</v>
      </c>
      <c r="D156" s="8" t="b">
        <f t="shared" si="10"/>
        <v>1</v>
      </c>
      <c r="E156" s="9">
        <f t="shared" si="11"/>
        <v>2.4792633741724374E-2</v>
      </c>
      <c r="F156" s="8">
        <f t="shared" si="12"/>
        <v>2</v>
      </c>
    </row>
    <row r="157" spans="1:6" x14ac:dyDescent="0.3">
      <c r="A157" s="6" t="s">
        <v>171</v>
      </c>
      <c r="B157" s="11">
        <v>7773492063</v>
      </c>
      <c r="C157" s="11">
        <v>3796071429</v>
      </c>
      <c r="D157" s="8" t="b">
        <f t="shared" si="10"/>
        <v>1</v>
      </c>
      <c r="E157" s="9">
        <f t="shared" si="11"/>
        <v>0</v>
      </c>
      <c r="F157" s="8">
        <f t="shared" si="12"/>
        <v>1</v>
      </c>
    </row>
    <row r="158" spans="1:6" x14ac:dyDescent="0.3">
      <c r="A158" s="6" t="s">
        <v>172</v>
      </c>
      <c r="B158" s="11">
        <v>562267000000</v>
      </c>
      <c r="C158" s="11">
        <v>559350000000</v>
      </c>
      <c r="D158" s="8" t="b">
        <f t="shared" si="10"/>
        <v>1</v>
      </c>
      <c r="E158" s="9">
        <f t="shared" si="11"/>
        <v>5.2149816751586664E-3</v>
      </c>
      <c r="F158" s="8">
        <f t="shared" si="12"/>
        <v>1</v>
      </c>
    </row>
    <row r="159" spans="1:6" x14ac:dyDescent="0.3">
      <c r="A159" s="6" t="s">
        <v>173</v>
      </c>
      <c r="B159" s="11">
        <v>121567000000</v>
      </c>
      <c r="C159" s="11">
        <v>118400000000</v>
      </c>
      <c r="D159" s="8" t="b">
        <f t="shared" si="10"/>
        <v>1</v>
      </c>
      <c r="E159" s="9">
        <f t="shared" si="11"/>
        <v>2.6748310810810812E-2</v>
      </c>
      <c r="F159" s="8">
        <f t="shared" si="12"/>
        <v>3</v>
      </c>
    </row>
    <row r="160" spans="1:6" x14ac:dyDescent="0.3">
      <c r="A160" s="6" t="s">
        <v>174</v>
      </c>
      <c r="B160" s="11">
        <v>603906000000</v>
      </c>
      <c r="C160" s="11">
        <v>648119000000</v>
      </c>
      <c r="D160" s="8" t="b">
        <f t="shared" si="10"/>
        <v>1</v>
      </c>
      <c r="E160" s="9">
        <f t="shared" si="11"/>
        <v>-6.8217410691555097E-2</v>
      </c>
      <c r="F160" s="8">
        <f t="shared" si="12"/>
        <v>0</v>
      </c>
    </row>
    <row r="161" spans="1:6" x14ac:dyDescent="0.3">
      <c r="A161" s="6" t="s">
        <v>175</v>
      </c>
      <c r="B161" s="11">
        <v>211673000000</v>
      </c>
      <c r="C161" s="11">
        <v>216042000000</v>
      </c>
      <c r="D161" s="8" t="b">
        <f t="shared" si="10"/>
        <v>1</v>
      </c>
      <c r="E161" s="9">
        <f t="shared" si="11"/>
        <v>-2.0222919617481787E-2</v>
      </c>
      <c r="F161" s="8">
        <f t="shared" si="12"/>
        <v>0</v>
      </c>
    </row>
    <row r="162" spans="1:6" x14ac:dyDescent="0.3">
      <c r="A162" s="6" t="s">
        <v>176</v>
      </c>
      <c r="B162" s="11">
        <v>262533000000</v>
      </c>
      <c r="C162" s="11">
        <v>261767000000</v>
      </c>
      <c r="D162" s="8" t="b">
        <f t="shared" si="10"/>
        <v>1</v>
      </c>
      <c r="E162" s="9">
        <f t="shared" si="11"/>
        <v>2.9262664889004343E-3</v>
      </c>
      <c r="F162" s="8">
        <f t="shared" si="12"/>
        <v>1</v>
      </c>
    </row>
    <row r="163" spans="1:6" x14ac:dyDescent="0.3">
      <c r="A163" s="6" t="s">
        <v>177</v>
      </c>
      <c r="B163" s="11">
        <v>86606666667</v>
      </c>
      <c r="C163" s="11">
        <v>84875000000</v>
      </c>
      <c r="D163" s="8" t="b">
        <f t="shared" si="10"/>
        <v>1</v>
      </c>
      <c r="E163" s="9">
        <f t="shared" si="11"/>
        <v>2.0402552777614137E-2</v>
      </c>
      <c r="F163" s="8">
        <f t="shared" si="12"/>
        <v>2</v>
      </c>
    </row>
    <row r="164" spans="1:6" x14ac:dyDescent="0.3">
      <c r="A164" s="6" t="s">
        <v>178</v>
      </c>
      <c r="B164" s="11">
        <v>183852000000</v>
      </c>
      <c r="C164" s="11">
        <v>185283000000</v>
      </c>
      <c r="D164" s="8" t="b">
        <f t="shared" si="10"/>
        <v>1</v>
      </c>
      <c r="E164" s="9">
        <f t="shared" si="11"/>
        <v>-7.723320542089668E-3</v>
      </c>
      <c r="F164" s="8">
        <f t="shared" si="12"/>
        <v>1</v>
      </c>
    </row>
    <row r="165" spans="1:6" x14ac:dyDescent="0.3">
      <c r="A165" s="6" t="s">
        <v>179</v>
      </c>
      <c r="B165" s="11">
        <v>506767000000</v>
      </c>
      <c r="C165" s="11">
        <v>358071000000</v>
      </c>
      <c r="D165" s="8" t="b">
        <f t="shared" si="10"/>
        <v>1</v>
      </c>
      <c r="E165" s="9">
        <f t="shared" si="11"/>
        <v>0.4152695973703539</v>
      </c>
      <c r="F165" s="8">
        <f t="shared" si="12"/>
        <v>4</v>
      </c>
    </row>
    <row r="166" spans="1:6" x14ac:dyDescent="0.3">
      <c r="A166" s="6" t="s">
        <v>180</v>
      </c>
      <c r="B166" s="11">
        <v>213707000000</v>
      </c>
      <c r="C166" s="11">
        <v>215360000000</v>
      </c>
      <c r="D166" s="8" t="b">
        <f t="shared" si="10"/>
        <v>1</v>
      </c>
      <c r="E166" s="9">
        <f t="shared" si="11"/>
        <v>-7.6755200594353637E-3</v>
      </c>
      <c r="F166" s="8">
        <f t="shared" si="12"/>
        <v>1</v>
      </c>
    </row>
    <row r="167" spans="1:6" x14ac:dyDescent="0.3">
      <c r="A167" s="6" t="s">
        <v>181</v>
      </c>
      <c r="B167" s="11">
        <v>169927000000</v>
      </c>
      <c r="C167" s="11">
        <v>168230000000</v>
      </c>
      <c r="D167" s="8" t="b">
        <f t="shared" si="10"/>
        <v>1</v>
      </c>
      <c r="E167" s="9">
        <f t="shared" si="11"/>
        <v>1.0087380372109612E-2</v>
      </c>
      <c r="F167" s="8">
        <f t="shared" si="12"/>
        <v>2</v>
      </c>
    </row>
    <row r="168" spans="1:6" x14ac:dyDescent="0.3">
      <c r="A168" s="6" t="s">
        <v>182</v>
      </c>
      <c r="B168" s="11">
        <v>279182000000</v>
      </c>
      <c r="C168" s="11">
        <v>269216000000</v>
      </c>
      <c r="D168" s="8" t="b">
        <f t="shared" si="10"/>
        <v>1</v>
      </c>
      <c r="E168" s="9">
        <f t="shared" si="11"/>
        <v>3.7018602163318676E-2</v>
      </c>
      <c r="F168" s="8">
        <f t="shared" si="12"/>
        <v>3</v>
      </c>
    </row>
    <row r="169" spans="1:6" x14ac:dyDescent="0.3">
      <c r="A169" s="6" t="s">
        <v>183</v>
      </c>
      <c r="B169" s="11">
        <v>34673333333</v>
      </c>
      <c r="C169" s="11">
        <v>32680000000</v>
      </c>
      <c r="D169" s="8" t="b">
        <f t="shared" ref="D169:D178" si="13">AND(ISNUMBER(B169),ISNUMBER(C169),C169&lt;&gt;0)</f>
        <v>1</v>
      </c>
      <c r="E169" s="9">
        <f t="shared" ref="E169:E178" si="14">IFERROR(IF(AND(B169&lt;100000000000,(B169-C169)/ABS(C169)&gt;0.5),0,(B169-C169)/ABS(C169)),NA())</f>
        <v>6.0995512025703795E-2</v>
      </c>
      <c r="F169" s="8">
        <f t="shared" si="12"/>
        <v>3</v>
      </c>
    </row>
    <row r="170" spans="1:6" x14ac:dyDescent="0.3">
      <c r="A170" s="6" t="s">
        <v>184</v>
      </c>
      <c r="B170" s="11">
        <v>97783333333</v>
      </c>
      <c r="C170" s="11">
        <v>85612500000</v>
      </c>
      <c r="D170" s="8" t="b">
        <f t="shared" si="13"/>
        <v>1</v>
      </c>
      <c r="E170" s="9">
        <f t="shared" si="14"/>
        <v>0.14216187277558767</v>
      </c>
      <c r="F170" s="8">
        <f t="shared" si="12"/>
        <v>4</v>
      </c>
    </row>
    <row r="171" spans="1:6" x14ac:dyDescent="0.3">
      <c r="A171" s="6" t="s">
        <v>185</v>
      </c>
      <c r="B171" s="11">
        <v>147252000000</v>
      </c>
      <c r="C171" s="11">
        <v>133557000000</v>
      </c>
      <c r="D171" s="8" t="b">
        <f t="shared" si="13"/>
        <v>1</v>
      </c>
      <c r="E171" s="9">
        <f t="shared" si="14"/>
        <v>0.10254048833082505</v>
      </c>
      <c r="F171" s="8">
        <f t="shared" si="12"/>
        <v>4</v>
      </c>
    </row>
    <row r="172" spans="1:6" x14ac:dyDescent="0.3">
      <c r="A172" s="6" t="s">
        <v>186</v>
      </c>
      <c r="B172" s="11">
        <v>508883000000</v>
      </c>
      <c r="C172" s="11">
        <v>540250000000</v>
      </c>
      <c r="D172" s="8" t="b">
        <f t="shared" si="13"/>
        <v>1</v>
      </c>
      <c r="E172" s="9">
        <f t="shared" si="14"/>
        <v>-5.8060157334567333E-2</v>
      </c>
      <c r="F172" s="8">
        <f t="shared" si="12"/>
        <v>0</v>
      </c>
    </row>
    <row r="173" spans="1:6" x14ac:dyDescent="0.3">
      <c r="A173" s="6" t="s">
        <v>187</v>
      </c>
      <c r="B173" s="11">
        <v>220311000000</v>
      </c>
      <c r="C173" s="11">
        <v>219475000000</v>
      </c>
      <c r="D173" s="8" t="b">
        <f t="shared" si="13"/>
        <v>1</v>
      </c>
      <c r="E173" s="9">
        <f t="shared" si="14"/>
        <v>3.8090898735619089E-3</v>
      </c>
      <c r="F173" s="8">
        <f t="shared" si="12"/>
        <v>1</v>
      </c>
    </row>
    <row r="174" spans="1:6" x14ac:dyDescent="0.3">
      <c r="A174" s="6" t="s">
        <v>188</v>
      </c>
      <c r="B174" s="11">
        <v>64200000000</v>
      </c>
      <c r="C174" s="11">
        <v>65667857143</v>
      </c>
      <c r="D174" s="8" t="b">
        <f t="shared" si="13"/>
        <v>1</v>
      </c>
      <c r="E174" s="9">
        <f t="shared" si="14"/>
        <v>-2.2352749227122742E-2</v>
      </c>
      <c r="F174" s="8">
        <f t="shared" si="12"/>
        <v>0</v>
      </c>
    </row>
    <row r="175" spans="1:6" x14ac:dyDescent="0.3">
      <c r="A175" s="6" t="s">
        <v>189</v>
      </c>
      <c r="B175" s="11">
        <v>328211000000</v>
      </c>
      <c r="C175" s="11">
        <v>327917000000</v>
      </c>
      <c r="D175" s="8" t="b">
        <f t="shared" si="13"/>
        <v>1</v>
      </c>
      <c r="E175" s="9">
        <f t="shared" si="14"/>
        <v>8.9656833893942669E-4</v>
      </c>
      <c r="F175" s="8">
        <f t="shared" si="12"/>
        <v>1</v>
      </c>
    </row>
    <row r="176" spans="1:6" x14ac:dyDescent="0.3">
      <c r="A176" s="6" t="s">
        <v>190</v>
      </c>
      <c r="B176" s="11">
        <v>221781000000</v>
      </c>
      <c r="C176" s="11">
        <v>215971000000</v>
      </c>
      <c r="D176" s="8" t="b">
        <f t="shared" si="13"/>
        <v>1</v>
      </c>
      <c r="E176" s="9">
        <f t="shared" si="14"/>
        <v>2.6901759958512947E-2</v>
      </c>
      <c r="F176" s="8">
        <f t="shared" si="12"/>
        <v>3</v>
      </c>
    </row>
    <row r="177" spans="1:6" x14ac:dyDescent="0.3">
      <c r="A177" s="6" t="s">
        <v>191</v>
      </c>
      <c r="B177" s="11">
        <v>154767000000</v>
      </c>
      <c r="C177" s="11">
        <v>159558000000</v>
      </c>
      <c r="D177" s="8" t="b">
        <f t="shared" si="13"/>
        <v>1</v>
      </c>
      <c r="E177" s="9">
        <f t="shared" si="14"/>
        <v>-3.0026698755311547E-2</v>
      </c>
      <c r="F177" s="8">
        <f t="shared" si="12"/>
        <v>0</v>
      </c>
    </row>
    <row r="178" spans="1:6" x14ac:dyDescent="0.3">
      <c r="A178" s="6" t="s">
        <v>192</v>
      </c>
      <c r="B178" s="11">
        <v>222439000000</v>
      </c>
      <c r="C178" s="11">
        <v>198335000000</v>
      </c>
      <c r="D178" s="8" t="b">
        <f t="shared" si="13"/>
        <v>1</v>
      </c>
      <c r="E178" s="9">
        <f t="shared" si="14"/>
        <v>0.1215317518340182</v>
      </c>
      <c r="F178" s="8">
        <f t="shared" si="12"/>
        <v>4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7"/>
  <sheetViews>
    <sheetView workbookViewId="0">
      <pane ySplit="4" topLeftCell="A5" activePane="bottomLeft" state="frozen"/>
      <selection pane="bottomLeft" activeCell="A5" sqref="A5"/>
    </sheetView>
  </sheetViews>
  <sheetFormatPr defaultRowHeight="16.5" x14ac:dyDescent="0.3"/>
  <cols>
    <col min="1" max="1" width="14" customWidth="1"/>
    <col min="2" max="2" width="18.125" bestFit="1" customWidth="1"/>
    <col min="3" max="3" width="18.75" bestFit="1" customWidth="1"/>
    <col min="4" max="9" width="16" customWidth="1"/>
  </cols>
  <sheetData>
    <row r="1" spans="1:9" ht="24" x14ac:dyDescent="0.45">
      <c r="A1" s="1" t="s">
        <v>193</v>
      </c>
    </row>
    <row r="2" spans="1:9" x14ac:dyDescent="0.3">
      <c r="A2" t="s">
        <v>1</v>
      </c>
      <c r="B2" s="2">
        <v>46142</v>
      </c>
      <c r="C2" t="s">
        <v>2</v>
      </c>
      <c r="D2">
        <v>299</v>
      </c>
    </row>
    <row r="4" spans="1:9" x14ac:dyDescent="0.3">
      <c r="A4" s="3" t="s">
        <v>3</v>
      </c>
      <c r="B4" s="3" t="s">
        <v>4</v>
      </c>
      <c r="C4" s="3" t="s">
        <v>194</v>
      </c>
      <c r="D4" s="3" t="s">
        <v>195</v>
      </c>
      <c r="E4" s="3" t="s">
        <v>196</v>
      </c>
      <c r="F4" s="3" t="s">
        <v>197</v>
      </c>
      <c r="G4" s="3" t="s">
        <v>8</v>
      </c>
      <c r="H4" s="3" t="s">
        <v>9</v>
      </c>
    </row>
    <row r="5" spans="1:9" x14ac:dyDescent="0.3">
      <c r="A5" t="s">
        <v>11</v>
      </c>
      <c r="B5" t="s">
        <v>12</v>
      </c>
      <c r="C5">
        <v>1675</v>
      </c>
      <c r="D5">
        <v>220500</v>
      </c>
      <c r="E5" s="10">
        <f>IFERROR(C5/D5,NA())</f>
        <v>7.5963718820861682E-3</v>
      </c>
      <c r="F5" s="4">
        <f>IF(AND(98094.37&lt;98094.37,98094.37&lt;98107.67),1,0)</f>
        <v>0</v>
      </c>
      <c r="G5" s="4">
        <f>IFERROR(MIN(4,INT((_xlfn.RANK.AVG(E5,$D$9:$D$207,1)-1)*5/COUNT($D$9:$D$207)))+F5,NA())</f>
        <v>1</v>
      </c>
      <c r="H5">
        <v>1</v>
      </c>
    </row>
    <row r="6" spans="1:9" x14ac:dyDescent="0.3">
      <c r="A6" t="s">
        <v>14</v>
      </c>
      <c r="B6" t="s">
        <v>15</v>
      </c>
      <c r="C6">
        <v>3000</v>
      </c>
      <c r="D6">
        <v>1286000</v>
      </c>
      <c r="E6" s="10">
        <f>IFERROR(C6/D6,NA())</f>
        <v>2.3328149300155523E-3</v>
      </c>
      <c r="F6" s="4">
        <f>IF(AND(8251.8&lt;8257.21,8257.21&lt;15200.91),1,0)</f>
        <v>1</v>
      </c>
      <c r="G6" s="4">
        <f>IFERROR(MIN(4,INT((_xlfn.RANK.AVG(E6,$D$9:$D$207,1)-1)*5/COUNT($D$9:$D$207)))+F6,NA())</f>
        <v>2</v>
      </c>
      <c r="H6">
        <v>2</v>
      </c>
    </row>
    <row r="8" spans="1:9" x14ac:dyDescent="0.3">
      <c r="A8" s="5" t="s">
        <v>4</v>
      </c>
      <c r="B8" s="5" t="s">
        <v>194</v>
      </c>
      <c r="C8" s="5" t="s">
        <v>195</v>
      </c>
      <c r="D8" s="5" t="s">
        <v>196</v>
      </c>
      <c r="E8" s="5" t="s">
        <v>198</v>
      </c>
      <c r="F8" s="5" t="s">
        <v>199</v>
      </c>
      <c r="G8" s="5" t="s">
        <v>200</v>
      </c>
      <c r="H8" s="5" t="s">
        <v>197</v>
      </c>
      <c r="I8" s="5" t="s">
        <v>8</v>
      </c>
    </row>
    <row r="9" spans="1:9" x14ac:dyDescent="0.3">
      <c r="A9" s="6" t="s">
        <v>12</v>
      </c>
      <c r="B9" s="11">
        <v>1675</v>
      </c>
      <c r="C9" s="11">
        <v>220500</v>
      </c>
      <c r="D9" s="9">
        <f t="shared" ref="D9:D40" si="0">IFERROR(B9/C9,NA())</f>
        <v>7.5963718820861682E-3</v>
      </c>
      <c r="E9" s="11">
        <v>98094.37</v>
      </c>
      <c r="F9" s="11">
        <v>98094.37</v>
      </c>
      <c r="G9" s="11">
        <v>98107.67</v>
      </c>
      <c r="H9" s="8">
        <f t="shared" ref="H9:H40" si="1">IF(AND(E9&lt;F9,F9&lt;G9),1,0)</f>
        <v>0</v>
      </c>
      <c r="I9" s="8">
        <f>IFERROR(MIN(4,INT((_xlfn.RANK.AVG(D9,$D$9:$D$207,1)-1)*5/COUNT($D$9:$D$207)))+H9,NA())</f>
        <v>1</v>
      </c>
    </row>
    <row r="10" spans="1:9" x14ac:dyDescent="0.3">
      <c r="A10" s="6" t="s">
        <v>15</v>
      </c>
      <c r="B10" s="11">
        <v>3000</v>
      </c>
      <c r="C10" s="11">
        <v>1286000</v>
      </c>
      <c r="D10" s="9">
        <f t="shared" si="0"/>
        <v>2.3328149300155523E-3</v>
      </c>
      <c r="E10" s="11">
        <v>8251.7999999999993</v>
      </c>
      <c r="F10" s="11">
        <v>8257.2099999999991</v>
      </c>
      <c r="G10" s="11">
        <v>15200.91</v>
      </c>
      <c r="H10" s="8">
        <f t="shared" si="1"/>
        <v>1</v>
      </c>
      <c r="I10" s="8">
        <f t="shared" ref="I10:I73" si="2">IFERROR(MIN(4,INT((_xlfn.RANK.AVG(D10,$D$9:$D$207,1)-1)*5/COUNT($D$9:$D$207)))+H10,NA())</f>
        <v>2</v>
      </c>
    </row>
    <row r="11" spans="1:9" x14ac:dyDescent="0.3">
      <c r="A11" s="6" t="s">
        <v>25</v>
      </c>
      <c r="B11" s="11">
        <v>0</v>
      </c>
      <c r="C11" s="11">
        <v>1470000</v>
      </c>
      <c r="D11" s="9">
        <f t="shared" si="0"/>
        <v>0</v>
      </c>
      <c r="E11" s="11">
        <v>0</v>
      </c>
      <c r="F11" s="11">
        <v>0</v>
      </c>
      <c r="G11" s="11">
        <v>0</v>
      </c>
      <c r="H11" s="8">
        <f t="shared" si="1"/>
        <v>0</v>
      </c>
      <c r="I11" s="8">
        <f t="shared" si="2"/>
        <v>0</v>
      </c>
    </row>
    <row r="12" spans="1:9" x14ac:dyDescent="0.3">
      <c r="A12" s="6" t="s">
        <v>26</v>
      </c>
      <c r="B12" s="11">
        <v>0</v>
      </c>
      <c r="C12" s="11">
        <v>460500</v>
      </c>
      <c r="D12" s="9">
        <f t="shared" si="0"/>
        <v>0</v>
      </c>
      <c r="E12" s="11">
        <v>0</v>
      </c>
      <c r="F12" s="11">
        <v>0</v>
      </c>
      <c r="G12" s="11">
        <v>0</v>
      </c>
      <c r="H12" s="8">
        <f t="shared" si="1"/>
        <v>0</v>
      </c>
      <c r="I12" s="8">
        <f t="shared" si="2"/>
        <v>0</v>
      </c>
    </row>
    <row r="13" spans="1:9" x14ac:dyDescent="0.3">
      <c r="A13" s="6" t="s">
        <v>27</v>
      </c>
      <c r="B13" s="11">
        <v>7000</v>
      </c>
      <c r="C13" s="11">
        <v>1417000</v>
      </c>
      <c r="D13" s="9">
        <f t="shared" si="0"/>
        <v>4.9400141143260412E-3</v>
      </c>
      <c r="E13" s="11">
        <v>505.69</v>
      </c>
      <c r="F13" s="11">
        <v>910.25</v>
      </c>
      <c r="G13" s="11">
        <v>1591.33</v>
      </c>
      <c r="H13" s="8">
        <f t="shared" si="1"/>
        <v>1</v>
      </c>
      <c r="I13" s="8">
        <f t="shared" si="2"/>
        <v>2</v>
      </c>
    </row>
    <row r="14" spans="1:9" x14ac:dyDescent="0.3">
      <c r="A14" s="6" t="s">
        <v>28</v>
      </c>
      <c r="B14" s="11">
        <v>10000</v>
      </c>
      <c r="C14" s="11">
        <v>531000</v>
      </c>
      <c r="D14" s="9">
        <f t="shared" si="0"/>
        <v>1.8832391713747645E-2</v>
      </c>
      <c r="E14" s="11">
        <v>18303.560000000001</v>
      </c>
      <c r="F14" s="11">
        <v>29986.560000000001</v>
      </c>
      <c r="G14" s="11">
        <v>31478.39</v>
      </c>
      <c r="H14" s="8">
        <f t="shared" si="1"/>
        <v>1</v>
      </c>
      <c r="I14" s="8">
        <f t="shared" si="2"/>
        <v>3</v>
      </c>
    </row>
    <row r="15" spans="1:9" x14ac:dyDescent="0.3">
      <c r="A15" s="6" t="s">
        <v>29</v>
      </c>
      <c r="B15" s="11">
        <v>4598</v>
      </c>
      <c r="C15" s="11">
        <v>160500</v>
      </c>
      <c r="D15" s="9">
        <f t="shared" si="0"/>
        <v>2.864797507788162E-2</v>
      </c>
      <c r="E15" s="11">
        <v>11494.21</v>
      </c>
      <c r="F15" s="11">
        <v>11662.87</v>
      </c>
      <c r="G15" s="11">
        <v>12003.47</v>
      </c>
      <c r="H15" s="8">
        <f t="shared" si="1"/>
        <v>1</v>
      </c>
      <c r="I15" s="8">
        <f t="shared" si="2"/>
        <v>4</v>
      </c>
    </row>
    <row r="16" spans="1:9" x14ac:dyDescent="0.3">
      <c r="A16" s="6" t="s">
        <v>30</v>
      </c>
      <c r="B16" s="11">
        <v>6800</v>
      </c>
      <c r="C16" s="11">
        <v>151800</v>
      </c>
      <c r="D16" s="9">
        <f t="shared" si="0"/>
        <v>4.4795783926218712E-2</v>
      </c>
      <c r="E16" s="11">
        <v>14032.56</v>
      </c>
      <c r="F16" s="11">
        <v>21942.77</v>
      </c>
      <c r="G16" s="11">
        <v>25590.45</v>
      </c>
      <c r="H16" s="8">
        <f t="shared" si="1"/>
        <v>1</v>
      </c>
      <c r="I16" s="8">
        <f t="shared" si="2"/>
        <v>5</v>
      </c>
    </row>
    <row r="17" spans="1:9" x14ac:dyDescent="0.3">
      <c r="A17" s="6" t="s">
        <v>31</v>
      </c>
      <c r="B17" s="11">
        <v>5661</v>
      </c>
      <c r="C17" s="11">
        <v>685000</v>
      </c>
      <c r="D17" s="9">
        <f t="shared" si="0"/>
        <v>8.2642335766423356E-3</v>
      </c>
      <c r="E17" s="11">
        <v>0</v>
      </c>
      <c r="F17" s="11">
        <v>0</v>
      </c>
      <c r="G17" s="11">
        <v>1855.36</v>
      </c>
      <c r="H17" s="8">
        <f t="shared" si="1"/>
        <v>0</v>
      </c>
      <c r="I17" s="8">
        <f t="shared" si="2"/>
        <v>1</v>
      </c>
    </row>
    <row r="18" spans="1:9" x14ac:dyDescent="0.3">
      <c r="A18" s="6" t="s">
        <v>32</v>
      </c>
      <c r="B18" s="11">
        <v>750</v>
      </c>
      <c r="C18" s="11">
        <v>200500</v>
      </c>
      <c r="D18" s="9">
        <f t="shared" si="0"/>
        <v>3.740648379052369E-3</v>
      </c>
      <c r="E18" s="11">
        <v>516.72</v>
      </c>
      <c r="F18" s="11">
        <v>1036.04</v>
      </c>
      <c r="G18" s="11">
        <v>1537.73</v>
      </c>
      <c r="H18" s="8">
        <f t="shared" si="1"/>
        <v>1</v>
      </c>
      <c r="I18" s="8">
        <f t="shared" si="2"/>
        <v>2</v>
      </c>
    </row>
    <row r="19" spans="1:9" x14ac:dyDescent="0.3">
      <c r="A19" s="6" t="s">
        <v>33</v>
      </c>
      <c r="B19" s="11">
        <v>0</v>
      </c>
      <c r="C19" s="11">
        <v>127100</v>
      </c>
      <c r="D19" s="9">
        <f t="shared" si="0"/>
        <v>0</v>
      </c>
      <c r="E19" s="11">
        <v>0</v>
      </c>
      <c r="F19" s="11">
        <v>0</v>
      </c>
      <c r="G19" s="11">
        <v>0</v>
      </c>
      <c r="H19" s="8">
        <f t="shared" si="1"/>
        <v>0</v>
      </c>
      <c r="I19" s="8">
        <f t="shared" si="2"/>
        <v>0</v>
      </c>
    </row>
    <row r="20" spans="1:9" x14ac:dyDescent="0.3">
      <c r="A20" s="6" t="s">
        <v>34</v>
      </c>
      <c r="B20" s="11">
        <v>2630</v>
      </c>
      <c r="C20" s="11">
        <v>211000</v>
      </c>
      <c r="D20" s="9">
        <f t="shared" si="0"/>
        <v>1.2464454976303318E-2</v>
      </c>
      <c r="E20" s="11">
        <v>1370.72</v>
      </c>
      <c r="F20" s="11">
        <v>1813.83</v>
      </c>
      <c r="G20" s="11">
        <v>1684.37</v>
      </c>
      <c r="H20" s="8">
        <f t="shared" si="1"/>
        <v>0</v>
      </c>
      <c r="I20" s="8">
        <f t="shared" si="2"/>
        <v>2</v>
      </c>
    </row>
    <row r="21" spans="1:9" x14ac:dyDescent="0.3">
      <c r="A21" s="6" t="s">
        <v>35</v>
      </c>
      <c r="B21" s="11">
        <v>2760</v>
      </c>
      <c r="C21" s="11">
        <v>99900</v>
      </c>
      <c r="D21" s="9">
        <f t="shared" si="0"/>
        <v>2.7627627627627629E-2</v>
      </c>
      <c r="E21" s="11">
        <v>10928.13</v>
      </c>
      <c r="F21" s="11">
        <v>10863.17</v>
      </c>
      <c r="G21" s="11">
        <v>10880.42</v>
      </c>
      <c r="H21" s="8">
        <f t="shared" si="1"/>
        <v>0</v>
      </c>
      <c r="I21" s="8">
        <f t="shared" si="2"/>
        <v>3</v>
      </c>
    </row>
    <row r="22" spans="1:9" x14ac:dyDescent="0.3">
      <c r="A22" s="6" t="s">
        <v>36</v>
      </c>
      <c r="B22" s="11">
        <v>2800</v>
      </c>
      <c r="C22" s="11">
        <v>298500</v>
      </c>
      <c r="D22" s="9">
        <f t="shared" si="0"/>
        <v>9.3802345058626464E-3</v>
      </c>
      <c r="E22" s="11">
        <v>3764.37</v>
      </c>
      <c r="F22" s="11">
        <v>4173.47</v>
      </c>
      <c r="G22" s="11">
        <v>4255.25</v>
      </c>
      <c r="H22" s="8">
        <f t="shared" si="1"/>
        <v>1</v>
      </c>
      <c r="I22" s="8">
        <f t="shared" si="2"/>
        <v>3</v>
      </c>
    </row>
    <row r="23" spans="1:9" x14ac:dyDescent="0.3">
      <c r="A23" s="6" t="s">
        <v>37</v>
      </c>
      <c r="B23" s="11">
        <v>6500</v>
      </c>
      <c r="C23" s="11">
        <v>425000</v>
      </c>
      <c r="D23" s="9">
        <f t="shared" si="0"/>
        <v>1.5294117647058824E-2</v>
      </c>
      <c r="E23" s="11">
        <v>3670.94</v>
      </c>
      <c r="F23" s="11">
        <v>4073.2</v>
      </c>
      <c r="G23" s="11">
        <v>5395.45</v>
      </c>
      <c r="H23" s="8">
        <f t="shared" si="1"/>
        <v>1</v>
      </c>
      <c r="I23" s="8">
        <f t="shared" si="2"/>
        <v>3</v>
      </c>
    </row>
    <row r="24" spans="1:9" x14ac:dyDescent="0.3">
      <c r="A24" s="6" t="s">
        <v>38</v>
      </c>
      <c r="B24" s="11">
        <v>5300</v>
      </c>
      <c r="C24" s="11">
        <v>249500</v>
      </c>
      <c r="D24" s="9">
        <f t="shared" si="0"/>
        <v>2.1242484969939881E-2</v>
      </c>
      <c r="E24" s="11">
        <v>5387.24</v>
      </c>
      <c r="F24" s="11">
        <v>6644.27</v>
      </c>
      <c r="G24" s="11">
        <v>8080.87</v>
      </c>
      <c r="H24" s="8">
        <f t="shared" si="1"/>
        <v>1</v>
      </c>
      <c r="I24" s="8">
        <f t="shared" si="2"/>
        <v>4</v>
      </c>
    </row>
    <row r="25" spans="1:9" x14ac:dyDescent="0.3">
      <c r="A25" s="6" t="s">
        <v>39</v>
      </c>
      <c r="B25" s="11">
        <v>0</v>
      </c>
      <c r="C25" s="11">
        <v>131800</v>
      </c>
      <c r="D25" s="9">
        <f t="shared" si="0"/>
        <v>0</v>
      </c>
      <c r="E25" s="11">
        <v>0</v>
      </c>
      <c r="F25" s="11">
        <v>0</v>
      </c>
      <c r="G25" s="11">
        <v>0</v>
      </c>
      <c r="H25" s="8">
        <f t="shared" si="1"/>
        <v>0</v>
      </c>
      <c r="I25" s="8">
        <f t="shared" si="2"/>
        <v>0</v>
      </c>
    </row>
    <row r="26" spans="1:9" x14ac:dyDescent="0.3">
      <c r="A26" s="6" t="s">
        <v>40</v>
      </c>
      <c r="B26" s="11">
        <v>12300</v>
      </c>
      <c r="C26" s="11">
        <v>461500</v>
      </c>
      <c r="D26" s="9">
        <f t="shared" si="0"/>
        <v>2.6652221018418201E-2</v>
      </c>
      <c r="E26" s="11">
        <v>0</v>
      </c>
      <c r="F26" s="11">
        <v>0</v>
      </c>
      <c r="G26" s="11">
        <v>3606.45</v>
      </c>
      <c r="H26" s="8">
        <f t="shared" si="1"/>
        <v>0</v>
      </c>
      <c r="I26" s="8">
        <f t="shared" si="2"/>
        <v>3</v>
      </c>
    </row>
    <row r="27" spans="1:9" x14ac:dyDescent="0.3">
      <c r="A27" s="6" t="s">
        <v>41</v>
      </c>
      <c r="B27" s="11">
        <v>700</v>
      </c>
      <c r="C27" s="11">
        <v>20500</v>
      </c>
      <c r="D27" s="9">
        <f t="shared" si="0"/>
        <v>3.4146341463414637E-2</v>
      </c>
      <c r="E27" s="11">
        <v>5868.47</v>
      </c>
      <c r="F27" s="11">
        <v>4823.28</v>
      </c>
      <c r="G27" s="11">
        <v>5286.24</v>
      </c>
      <c r="H27" s="8">
        <f t="shared" si="1"/>
        <v>0</v>
      </c>
      <c r="I27" s="8">
        <f t="shared" si="2"/>
        <v>4</v>
      </c>
    </row>
    <row r="28" spans="1:9" x14ac:dyDescent="0.3">
      <c r="A28" s="6" t="s">
        <v>42</v>
      </c>
      <c r="B28" s="11">
        <v>75</v>
      </c>
      <c r="C28" s="11">
        <v>47300</v>
      </c>
      <c r="D28" s="9">
        <f t="shared" si="0"/>
        <v>1.5856236786469344E-3</v>
      </c>
      <c r="E28" s="11">
        <v>262.02</v>
      </c>
      <c r="F28" s="11">
        <v>267.39999999999998</v>
      </c>
      <c r="G28" s="11">
        <v>298.57</v>
      </c>
      <c r="H28" s="8">
        <f t="shared" si="1"/>
        <v>1</v>
      </c>
      <c r="I28" s="8">
        <f t="shared" si="2"/>
        <v>1</v>
      </c>
    </row>
    <row r="29" spans="1:9" x14ac:dyDescent="0.3">
      <c r="A29" s="6" t="s">
        <v>43</v>
      </c>
      <c r="B29" s="11">
        <v>4344</v>
      </c>
      <c r="C29" s="11">
        <v>127900</v>
      </c>
      <c r="D29" s="9">
        <f t="shared" si="0"/>
        <v>3.3964034401876467E-2</v>
      </c>
      <c r="E29" s="11">
        <v>9767.3799999999992</v>
      </c>
      <c r="F29" s="11">
        <v>9798.5499999999993</v>
      </c>
      <c r="G29" s="11">
        <v>10159.32</v>
      </c>
      <c r="H29" s="8">
        <f t="shared" si="1"/>
        <v>1</v>
      </c>
      <c r="I29" s="8">
        <f t="shared" si="2"/>
        <v>5</v>
      </c>
    </row>
    <row r="30" spans="1:9" x14ac:dyDescent="0.3">
      <c r="A30" s="6" t="s">
        <v>44</v>
      </c>
      <c r="B30" s="11">
        <v>9500</v>
      </c>
      <c r="C30" s="11">
        <v>462000</v>
      </c>
      <c r="D30" s="9">
        <f t="shared" si="0"/>
        <v>2.0562770562770564E-2</v>
      </c>
      <c r="E30" s="11">
        <v>9101.9</v>
      </c>
      <c r="F30" s="11">
        <v>7587.62</v>
      </c>
      <c r="G30" s="11">
        <v>7574.85</v>
      </c>
      <c r="H30" s="8">
        <f t="shared" si="1"/>
        <v>0</v>
      </c>
      <c r="I30" s="8">
        <f t="shared" si="2"/>
        <v>3</v>
      </c>
    </row>
    <row r="31" spans="1:9" x14ac:dyDescent="0.3">
      <c r="A31" s="6" t="s">
        <v>45</v>
      </c>
      <c r="B31" s="11">
        <v>0</v>
      </c>
      <c r="C31" s="11">
        <v>111700</v>
      </c>
      <c r="D31" s="9">
        <f t="shared" si="0"/>
        <v>0</v>
      </c>
      <c r="E31" s="11">
        <v>127.2</v>
      </c>
      <c r="F31" s="11">
        <v>4483.34</v>
      </c>
      <c r="G31" s="11">
        <v>2406.96</v>
      </c>
      <c r="H31" s="8">
        <f t="shared" si="1"/>
        <v>0</v>
      </c>
      <c r="I31" s="8">
        <f t="shared" si="2"/>
        <v>0</v>
      </c>
    </row>
    <row r="32" spans="1:9" x14ac:dyDescent="0.3">
      <c r="A32" s="6" t="s">
        <v>46</v>
      </c>
      <c r="B32" s="11">
        <v>19500</v>
      </c>
      <c r="C32" s="11">
        <v>461000</v>
      </c>
      <c r="D32" s="9">
        <f t="shared" si="0"/>
        <v>4.2299349240780909E-2</v>
      </c>
      <c r="E32" s="11">
        <v>5866.45</v>
      </c>
      <c r="F32" s="11">
        <v>6801.66</v>
      </c>
      <c r="G32" s="11">
        <v>8076.94</v>
      </c>
      <c r="H32" s="8">
        <f t="shared" si="1"/>
        <v>1</v>
      </c>
      <c r="I32" s="8">
        <f t="shared" si="2"/>
        <v>5</v>
      </c>
    </row>
    <row r="33" spans="1:9" x14ac:dyDescent="0.3">
      <c r="A33" s="6" t="s">
        <v>47</v>
      </c>
      <c r="B33" s="11">
        <v>600</v>
      </c>
      <c r="C33" s="11">
        <v>268500</v>
      </c>
      <c r="D33" s="9">
        <f t="shared" si="0"/>
        <v>2.2346368715083797E-3</v>
      </c>
      <c r="E33" s="11">
        <v>0</v>
      </c>
      <c r="F33" s="11">
        <v>109.14</v>
      </c>
      <c r="G33" s="11">
        <v>218.28</v>
      </c>
      <c r="H33" s="8">
        <f t="shared" si="1"/>
        <v>1</v>
      </c>
      <c r="I33" s="8">
        <f t="shared" si="2"/>
        <v>2</v>
      </c>
    </row>
    <row r="34" spans="1:9" x14ac:dyDescent="0.3">
      <c r="A34" s="6" t="s">
        <v>48</v>
      </c>
      <c r="B34" s="11">
        <v>1550</v>
      </c>
      <c r="C34" s="11">
        <v>841000</v>
      </c>
      <c r="D34" s="9">
        <f t="shared" si="0"/>
        <v>1.8430439952437574E-3</v>
      </c>
      <c r="E34" s="11">
        <v>0</v>
      </c>
      <c r="F34" s="11">
        <v>0</v>
      </c>
      <c r="G34" s="11">
        <v>0</v>
      </c>
      <c r="H34" s="8">
        <f t="shared" si="1"/>
        <v>0</v>
      </c>
      <c r="I34" s="8">
        <f t="shared" si="2"/>
        <v>0</v>
      </c>
    </row>
    <row r="35" spans="1:9" x14ac:dyDescent="0.3">
      <c r="A35" s="6" t="s">
        <v>49</v>
      </c>
      <c r="B35" s="11">
        <v>1542</v>
      </c>
      <c r="C35" s="11">
        <v>43550</v>
      </c>
      <c r="D35" s="9">
        <f t="shared" si="0"/>
        <v>3.5407577497129736E-2</v>
      </c>
      <c r="E35" s="11">
        <v>0</v>
      </c>
      <c r="F35" s="11">
        <v>0</v>
      </c>
      <c r="G35" s="11">
        <v>1367.38</v>
      </c>
      <c r="H35" s="8">
        <f t="shared" si="1"/>
        <v>0</v>
      </c>
      <c r="I35" s="8">
        <f t="shared" si="2"/>
        <v>4</v>
      </c>
    </row>
    <row r="36" spans="1:9" x14ac:dyDescent="0.3">
      <c r="A36" s="6" t="s">
        <v>50</v>
      </c>
      <c r="B36" s="11">
        <v>2240</v>
      </c>
      <c r="C36" s="11">
        <v>265000</v>
      </c>
      <c r="D36" s="9">
        <f t="shared" si="0"/>
        <v>8.4528301886792456E-3</v>
      </c>
      <c r="E36" s="11">
        <v>0</v>
      </c>
      <c r="F36" s="11">
        <v>0</v>
      </c>
      <c r="G36" s="11">
        <v>0</v>
      </c>
      <c r="H36" s="8">
        <f t="shared" si="1"/>
        <v>0</v>
      </c>
      <c r="I36" s="8">
        <f t="shared" si="2"/>
        <v>1</v>
      </c>
    </row>
    <row r="37" spans="1:9" x14ac:dyDescent="0.3">
      <c r="A37" s="6" t="s">
        <v>51</v>
      </c>
      <c r="B37" s="11">
        <v>25000</v>
      </c>
      <c r="C37" s="11">
        <v>1579000</v>
      </c>
      <c r="D37" s="9">
        <f t="shared" si="0"/>
        <v>1.5832805573147563E-2</v>
      </c>
      <c r="E37" s="11">
        <v>3972.63</v>
      </c>
      <c r="F37" s="11">
        <v>3026.55</v>
      </c>
      <c r="G37" s="11">
        <v>3417.6</v>
      </c>
      <c r="H37" s="8">
        <f t="shared" si="1"/>
        <v>0</v>
      </c>
      <c r="I37" s="8">
        <f t="shared" si="2"/>
        <v>2</v>
      </c>
    </row>
    <row r="38" spans="1:9" x14ac:dyDescent="0.3">
      <c r="A38" s="6" t="s">
        <v>52</v>
      </c>
      <c r="B38" s="11">
        <v>0</v>
      </c>
      <c r="C38" s="11">
        <v>32350</v>
      </c>
      <c r="D38" s="9">
        <f t="shared" si="0"/>
        <v>0</v>
      </c>
      <c r="E38" s="11">
        <v>0</v>
      </c>
      <c r="F38" s="11">
        <v>0</v>
      </c>
      <c r="G38" s="11">
        <v>0</v>
      </c>
      <c r="H38" s="8">
        <f t="shared" si="1"/>
        <v>0</v>
      </c>
      <c r="I38" s="8">
        <f t="shared" si="2"/>
        <v>0</v>
      </c>
    </row>
    <row r="39" spans="1:9" x14ac:dyDescent="0.3">
      <c r="A39" s="6" t="s">
        <v>53</v>
      </c>
      <c r="B39" s="11">
        <v>1380</v>
      </c>
      <c r="C39" s="11">
        <v>33350</v>
      </c>
      <c r="D39" s="9">
        <f t="shared" si="0"/>
        <v>4.1379310344827586E-2</v>
      </c>
      <c r="E39" s="11">
        <v>8227.06</v>
      </c>
      <c r="F39" s="11">
        <v>7473.02</v>
      </c>
      <c r="G39" s="11">
        <v>8910.4500000000007</v>
      </c>
      <c r="H39" s="8">
        <f t="shared" si="1"/>
        <v>0</v>
      </c>
      <c r="I39" s="8">
        <f t="shared" si="2"/>
        <v>4</v>
      </c>
    </row>
    <row r="40" spans="1:9" x14ac:dyDescent="0.3">
      <c r="A40" s="6" t="s">
        <v>54</v>
      </c>
      <c r="B40" s="11">
        <v>8400</v>
      </c>
      <c r="C40" s="11">
        <v>1252000</v>
      </c>
      <c r="D40" s="9">
        <f t="shared" si="0"/>
        <v>6.7092651757188499E-3</v>
      </c>
      <c r="E40" s="11">
        <v>179.96</v>
      </c>
      <c r="F40" s="11">
        <v>359.93</v>
      </c>
      <c r="G40" s="11">
        <v>1925.61</v>
      </c>
      <c r="H40" s="8">
        <f t="shared" si="1"/>
        <v>1</v>
      </c>
      <c r="I40" s="8">
        <f t="shared" si="2"/>
        <v>2</v>
      </c>
    </row>
    <row r="41" spans="1:9" x14ac:dyDescent="0.3">
      <c r="A41" s="6" t="s">
        <v>55</v>
      </c>
      <c r="B41" s="11">
        <v>6000</v>
      </c>
      <c r="C41" s="11">
        <v>178300</v>
      </c>
      <c r="D41" s="9">
        <f t="shared" ref="D41:D72" si="3">IFERROR(B41/C41,NA())</f>
        <v>3.3651149747616377E-2</v>
      </c>
      <c r="E41" s="11">
        <v>5814</v>
      </c>
      <c r="F41" s="11">
        <v>5907.76</v>
      </c>
      <c r="G41" s="11">
        <v>5884.48</v>
      </c>
      <c r="H41" s="8">
        <f t="shared" ref="H41:H72" si="4">IF(AND(E41&lt;F41,F41&lt;G41),1,0)</f>
        <v>0</v>
      </c>
      <c r="I41" s="8">
        <f t="shared" si="2"/>
        <v>4</v>
      </c>
    </row>
    <row r="42" spans="1:9" x14ac:dyDescent="0.3">
      <c r="A42" s="6" t="s">
        <v>56</v>
      </c>
      <c r="B42" s="11">
        <v>2000</v>
      </c>
      <c r="C42" s="11">
        <v>397000</v>
      </c>
      <c r="D42" s="9">
        <f t="shared" si="3"/>
        <v>5.0377833753148613E-3</v>
      </c>
      <c r="E42" s="11">
        <v>7831.35</v>
      </c>
      <c r="F42" s="11">
        <v>2743.47</v>
      </c>
      <c r="G42" s="11">
        <v>786.59</v>
      </c>
      <c r="H42" s="8">
        <f t="shared" si="4"/>
        <v>0</v>
      </c>
      <c r="I42" s="8">
        <f t="shared" si="2"/>
        <v>1</v>
      </c>
    </row>
    <row r="43" spans="1:9" x14ac:dyDescent="0.3">
      <c r="A43" s="6" t="s">
        <v>57</v>
      </c>
      <c r="B43" s="11">
        <v>0</v>
      </c>
      <c r="C43" s="11">
        <v>146200</v>
      </c>
      <c r="D43" s="9">
        <f t="shared" si="3"/>
        <v>0</v>
      </c>
      <c r="E43" s="11">
        <v>0.62</v>
      </c>
      <c r="F43" s="11">
        <v>0</v>
      </c>
      <c r="G43" s="11">
        <v>2975.57</v>
      </c>
      <c r="H43" s="8">
        <f t="shared" si="4"/>
        <v>0</v>
      </c>
      <c r="I43" s="8">
        <f t="shared" si="2"/>
        <v>0</v>
      </c>
    </row>
    <row r="44" spans="1:9" x14ac:dyDescent="0.3">
      <c r="A44" s="6" t="s">
        <v>58</v>
      </c>
      <c r="B44" s="11">
        <v>8000</v>
      </c>
      <c r="C44" s="11">
        <v>425000</v>
      </c>
      <c r="D44" s="9">
        <f t="shared" si="3"/>
        <v>1.8823529411764704E-2</v>
      </c>
      <c r="E44" s="11">
        <v>2801.49</v>
      </c>
      <c r="F44" s="11">
        <v>2769.03</v>
      </c>
      <c r="G44" s="11">
        <v>3856.21</v>
      </c>
      <c r="H44" s="8">
        <f t="shared" si="4"/>
        <v>0</v>
      </c>
      <c r="I44" s="8">
        <f t="shared" si="2"/>
        <v>2</v>
      </c>
    </row>
    <row r="45" spans="1:9" x14ac:dyDescent="0.3">
      <c r="A45" s="6" t="s">
        <v>59</v>
      </c>
      <c r="B45" s="11">
        <v>460</v>
      </c>
      <c r="C45" s="11">
        <v>24350</v>
      </c>
      <c r="D45" s="9">
        <f t="shared" si="3"/>
        <v>1.8891170431211499E-2</v>
      </c>
      <c r="E45" s="11">
        <v>381.38</v>
      </c>
      <c r="F45" s="11">
        <v>714.51</v>
      </c>
      <c r="G45" s="11">
        <v>1715.2</v>
      </c>
      <c r="H45" s="8">
        <f t="shared" si="4"/>
        <v>1</v>
      </c>
      <c r="I45" s="8">
        <f t="shared" si="2"/>
        <v>3</v>
      </c>
    </row>
    <row r="46" spans="1:9" x14ac:dyDescent="0.3">
      <c r="A46" s="6" t="s">
        <v>60</v>
      </c>
      <c r="B46" s="11">
        <v>1048</v>
      </c>
      <c r="C46" s="11">
        <v>22600</v>
      </c>
      <c r="D46" s="9">
        <f t="shared" si="3"/>
        <v>4.6371681415929206E-2</v>
      </c>
      <c r="E46" s="11">
        <v>7655.29</v>
      </c>
      <c r="F46" s="11">
        <v>7846.67</v>
      </c>
      <c r="G46" s="11">
        <v>8492.59</v>
      </c>
      <c r="H46" s="8">
        <f t="shared" si="4"/>
        <v>1</v>
      </c>
      <c r="I46" s="8">
        <f t="shared" si="2"/>
        <v>5</v>
      </c>
    </row>
    <row r="47" spans="1:9" x14ac:dyDescent="0.3">
      <c r="A47" s="6" t="s">
        <v>61</v>
      </c>
      <c r="B47" s="11">
        <v>2400</v>
      </c>
      <c r="C47" s="11">
        <v>60900</v>
      </c>
      <c r="D47" s="9">
        <f t="shared" si="3"/>
        <v>3.9408866995073892E-2</v>
      </c>
      <c r="E47" s="11">
        <v>5018.4399999999996</v>
      </c>
      <c r="F47" s="11">
        <v>4829.7</v>
      </c>
      <c r="G47" s="11">
        <v>4916.01</v>
      </c>
      <c r="H47" s="8">
        <f t="shared" si="4"/>
        <v>0</v>
      </c>
      <c r="I47" s="8">
        <f t="shared" si="2"/>
        <v>4</v>
      </c>
    </row>
    <row r="48" spans="1:9" x14ac:dyDescent="0.3">
      <c r="A48" s="6" t="s">
        <v>62</v>
      </c>
      <c r="B48" s="11">
        <v>500</v>
      </c>
      <c r="C48" s="11">
        <v>263000</v>
      </c>
      <c r="D48" s="9">
        <f t="shared" si="3"/>
        <v>1.9011406844106464E-3</v>
      </c>
      <c r="E48" s="11">
        <v>0</v>
      </c>
      <c r="F48" s="11">
        <v>291.56</v>
      </c>
      <c r="G48" s="11">
        <v>83.05</v>
      </c>
      <c r="H48" s="8">
        <f t="shared" si="4"/>
        <v>0</v>
      </c>
      <c r="I48" s="8">
        <f t="shared" si="2"/>
        <v>0</v>
      </c>
    </row>
    <row r="49" spans="1:9" x14ac:dyDescent="0.3">
      <c r="A49" s="6" t="s">
        <v>63</v>
      </c>
      <c r="B49" s="11">
        <v>1350</v>
      </c>
      <c r="C49" s="11">
        <v>140900</v>
      </c>
      <c r="D49" s="9">
        <f t="shared" si="3"/>
        <v>9.5812633073101491E-3</v>
      </c>
      <c r="E49" s="11">
        <v>1269.05</v>
      </c>
      <c r="F49" s="11">
        <v>1449.12</v>
      </c>
      <c r="G49" s="11">
        <v>1809.25</v>
      </c>
      <c r="H49" s="8">
        <f t="shared" si="4"/>
        <v>1</v>
      </c>
      <c r="I49" s="8">
        <f t="shared" si="2"/>
        <v>3</v>
      </c>
    </row>
    <row r="50" spans="1:9" x14ac:dyDescent="0.3">
      <c r="A50" s="6" t="s">
        <v>64</v>
      </c>
      <c r="B50" s="11">
        <v>0</v>
      </c>
      <c r="C50" s="11">
        <v>695000</v>
      </c>
      <c r="D50" s="9">
        <f t="shared" si="3"/>
        <v>0</v>
      </c>
      <c r="E50" s="11">
        <v>689.51</v>
      </c>
      <c r="F50" s="11">
        <v>669.45</v>
      </c>
      <c r="G50" s="11">
        <v>669.45</v>
      </c>
      <c r="H50" s="8">
        <f t="shared" si="4"/>
        <v>0</v>
      </c>
      <c r="I50" s="8">
        <f t="shared" si="2"/>
        <v>0</v>
      </c>
    </row>
    <row r="51" spans="1:9" x14ac:dyDescent="0.3">
      <c r="A51" s="6" t="s">
        <v>65</v>
      </c>
      <c r="B51" s="11">
        <v>3100</v>
      </c>
      <c r="C51" s="11">
        <v>99100</v>
      </c>
      <c r="D51" s="9">
        <f t="shared" si="3"/>
        <v>3.1281533804238142E-2</v>
      </c>
      <c r="E51" s="11">
        <v>4745.45</v>
      </c>
      <c r="F51" s="11">
        <v>4837.37</v>
      </c>
      <c r="G51" s="11">
        <v>4781.8</v>
      </c>
      <c r="H51" s="8">
        <f t="shared" si="4"/>
        <v>0</v>
      </c>
      <c r="I51" s="8">
        <f t="shared" si="2"/>
        <v>3</v>
      </c>
    </row>
    <row r="52" spans="1:9" x14ac:dyDescent="0.3">
      <c r="A52" s="6" t="s">
        <v>66</v>
      </c>
      <c r="B52" s="11">
        <v>1660</v>
      </c>
      <c r="C52" s="11">
        <v>95100</v>
      </c>
      <c r="D52" s="9">
        <f t="shared" si="3"/>
        <v>1.7455310199789693E-2</v>
      </c>
      <c r="E52" s="11">
        <v>7238.42</v>
      </c>
      <c r="F52" s="11">
        <v>7656.17</v>
      </c>
      <c r="G52" s="11">
        <v>7536.13</v>
      </c>
      <c r="H52" s="8">
        <f t="shared" si="4"/>
        <v>0</v>
      </c>
      <c r="I52" s="8">
        <f t="shared" si="2"/>
        <v>2</v>
      </c>
    </row>
    <row r="53" spans="1:9" x14ac:dyDescent="0.3">
      <c r="A53" s="6" t="s">
        <v>67</v>
      </c>
      <c r="B53" s="11">
        <v>300</v>
      </c>
      <c r="C53" s="11">
        <v>64800</v>
      </c>
      <c r="D53" s="9">
        <f t="shared" si="3"/>
        <v>4.6296296296296294E-3</v>
      </c>
      <c r="E53" s="11">
        <v>1234.24</v>
      </c>
      <c r="F53" s="11">
        <v>898.08</v>
      </c>
      <c r="G53" s="11">
        <v>1466.55</v>
      </c>
      <c r="H53" s="8">
        <f t="shared" si="4"/>
        <v>0</v>
      </c>
      <c r="I53" s="8">
        <f t="shared" si="2"/>
        <v>1</v>
      </c>
    </row>
    <row r="54" spans="1:9" x14ac:dyDescent="0.3">
      <c r="A54" s="6" t="s">
        <v>68</v>
      </c>
      <c r="B54" s="11">
        <v>3190</v>
      </c>
      <c r="C54" s="11">
        <v>166200</v>
      </c>
      <c r="D54" s="9">
        <f t="shared" si="3"/>
        <v>1.9193742478941036E-2</v>
      </c>
      <c r="E54" s="11">
        <v>2475.21</v>
      </c>
      <c r="F54" s="11">
        <v>2088.46</v>
      </c>
      <c r="G54" s="11">
        <v>2243.16</v>
      </c>
      <c r="H54" s="8">
        <f t="shared" si="4"/>
        <v>0</v>
      </c>
      <c r="I54" s="8">
        <f t="shared" si="2"/>
        <v>3</v>
      </c>
    </row>
    <row r="55" spans="1:9" x14ac:dyDescent="0.3">
      <c r="A55" s="6" t="s">
        <v>69</v>
      </c>
      <c r="B55" s="11">
        <v>4400</v>
      </c>
      <c r="C55" s="11">
        <v>310500</v>
      </c>
      <c r="D55" s="9">
        <f t="shared" si="3"/>
        <v>1.4170692431561997E-2</v>
      </c>
      <c r="E55" s="11">
        <v>3250.75</v>
      </c>
      <c r="F55" s="11">
        <v>2614.73</v>
      </c>
      <c r="G55" s="11">
        <v>2544.06</v>
      </c>
      <c r="H55" s="8">
        <f t="shared" si="4"/>
        <v>0</v>
      </c>
      <c r="I55" s="8">
        <f t="shared" si="2"/>
        <v>2</v>
      </c>
    </row>
    <row r="56" spans="1:9" x14ac:dyDescent="0.3">
      <c r="A56" s="6" t="s">
        <v>70</v>
      </c>
      <c r="B56" s="11">
        <v>2950</v>
      </c>
      <c r="C56" s="11">
        <v>941000</v>
      </c>
      <c r="D56" s="9">
        <f t="shared" si="3"/>
        <v>3.1349628055260363E-3</v>
      </c>
      <c r="E56" s="11">
        <v>326.92</v>
      </c>
      <c r="F56" s="11">
        <v>424.99</v>
      </c>
      <c r="G56" s="11">
        <v>523.05999999999995</v>
      </c>
      <c r="H56" s="8">
        <f t="shared" si="4"/>
        <v>1</v>
      </c>
      <c r="I56" s="8">
        <f t="shared" si="2"/>
        <v>2</v>
      </c>
    </row>
    <row r="57" spans="1:9" x14ac:dyDescent="0.3">
      <c r="A57" s="6" t="s">
        <v>71</v>
      </c>
      <c r="B57" s="11">
        <v>500</v>
      </c>
      <c r="C57" s="11">
        <v>117300</v>
      </c>
      <c r="D57" s="9">
        <f t="shared" si="3"/>
        <v>4.2625745950554137E-3</v>
      </c>
      <c r="E57" s="11">
        <v>467.48</v>
      </c>
      <c r="F57" s="11">
        <v>523.58000000000004</v>
      </c>
      <c r="G57" s="11">
        <v>654.48</v>
      </c>
      <c r="H57" s="8">
        <f t="shared" si="4"/>
        <v>1</v>
      </c>
      <c r="I57" s="8">
        <f t="shared" si="2"/>
        <v>2</v>
      </c>
    </row>
    <row r="58" spans="1:9" x14ac:dyDescent="0.3">
      <c r="A58" s="6" t="s">
        <v>72</v>
      </c>
      <c r="B58" s="11">
        <v>2350</v>
      </c>
      <c r="C58" s="11">
        <v>832000</v>
      </c>
      <c r="D58" s="9">
        <f t="shared" si="3"/>
        <v>2.8245192307692307E-3</v>
      </c>
      <c r="E58" s="11">
        <v>1587.92</v>
      </c>
      <c r="F58" s="11">
        <v>870.22</v>
      </c>
      <c r="G58" s="11">
        <v>1361.28</v>
      </c>
      <c r="H58" s="8">
        <f t="shared" si="4"/>
        <v>0</v>
      </c>
      <c r="I58" s="8">
        <f t="shared" si="2"/>
        <v>1</v>
      </c>
    </row>
    <row r="59" spans="1:9" x14ac:dyDescent="0.3">
      <c r="A59" s="6" t="s">
        <v>73</v>
      </c>
      <c r="B59" s="11">
        <v>5000</v>
      </c>
      <c r="C59" s="11">
        <v>1596000</v>
      </c>
      <c r="D59" s="9">
        <f t="shared" si="3"/>
        <v>3.1328320802005011E-3</v>
      </c>
      <c r="E59" s="11">
        <v>357.72</v>
      </c>
      <c r="F59" s="11">
        <v>357.72</v>
      </c>
      <c r="G59" s="11">
        <v>358.51</v>
      </c>
      <c r="H59" s="8">
        <f t="shared" si="4"/>
        <v>0</v>
      </c>
      <c r="I59" s="8">
        <f t="shared" si="2"/>
        <v>1</v>
      </c>
    </row>
    <row r="60" spans="1:9" x14ac:dyDescent="0.3">
      <c r="A60" s="6" t="s">
        <v>74</v>
      </c>
      <c r="B60" s="11">
        <v>250</v>
      </c>
      <c r="C60" s="11">
        <v>252000</v>
      </c>
      <c r="D60" s="9">
        <f t="shared" si="3"/>
        <v>9.9206349206349201E-4</v>
      </c>
      <c r="E60" s="11">
        <v>232.22</v>
      </c>
      <c r="F60" s="11">
        <v>193.55</v>
      </c>
      <c r="G60" s="11">
        <v>0</v>
      </c>
      <c r="H60" s="8">
        <f t="shared" si="4"/>
        <v>0</v>
      </c>
      <c r="I60" s="8">
        <f t="shared" si="2"/>
        <v>0</v>
      </c>
    </row>
    <row r="61" spans="1:9" x14ac:dyDescent="0.3">
      <c r="A61" s="6" t="s">
        <v>201</v>
      </c>
      <c r="B61" s="11">
        <v>360</v>
      </c>
      <c r="C61" s="11">
        <v>112700</v>
      </c>
      <c r="D61" s="9">
        <f t="shared" si="3"/>
        <v>3.1943212067435671E-3</v>
      </c>
      <c r="E61" s="11">
        <v>114.19</v>
      </c>
      <c r="F61" s="11">
        <v>200.69</v>
      </c>
      <c r="G61" s="11">
        <v>240.8</v>
      </c>
      <c r="H61" s="8">
        <f t="shared" si="4"/>
        <v>1</v>
      </c>
      <c r="I61" s="8">
        <f t="shared" si="2"/>
        <v>2</v>
      </c>
    </row>
    <row r="62" spans="1:9" x14ac:dyDescent="0.3">
      <c r="A62" s="6" t="s">
        <v>75</v>
      </c>
      <c r="B62" s="11">
        <v>5800</v>
      </c>
      <c r="C62" s="11">
        <v>227000</v>
      </c>
      <c r="D62" s="9">
        <f t="shared" si="3"/>
        <v>2.5550660792951541E-2</v>
      </c>
      <c r="E62" s="11">
        <v>2137.5</v>
      </c>
      <c r="F62" s="11">
        <v>2362.5</v>
      </c>
      <c r="G62" s="11">
        <v>2775</v>
      </c>
      <c r="H62" s="8">
        <f t="shared" si="4"/>
        <v>1</v>
      </c>
      <c r="I62" s="8">
        <f t="shared" si="2"/>
        <v>4</v>
      </c>
    </row>
    <row r="63" spans="1:9" x14ac:dyDescent="0.3">
      <c r="A63" s="6" t="s">
        <v>76</v>
      </c>
      <c r="B63" s="11">
        <v>1850</v>
      </c>
      <c r="C63" s="11">
        <v>87300</v>
      </c>
      <c r="D63" s="9">
        <f t="shared" si="3"/>
        <v>2.1191294387170677E-2</v>
      </c>
      <c r="E63" s="11">
        <v>1233.55</v>
      </c>
      <c r="F63" s="11">
        <v>1701.54</v>
      </c>
      <c r="G63" s="11">
        <v>2641.89</v>
      </c>
      <c r="H63" s="8">
        <f t="shared" si="4"/>
        <v>1</v>
      </c>
      <c r="I63" s="8">
        <f t="shared" si="2"/>
        <v>4</v>
      </c>
    </row>
    <row r="64" spans="1:9" x14ac:dyDescent="0.3">
      <c r="A64" s="6" t="s">
        <v>77</v>
      </c>
      <c r="B64" s="11">
        <v>4800</v>
      </c>
      <c r="C64" s="11">
        <v>1341000</v>
      </c>
      <c r="D64" s="9">
        <f t="shared" si="3"/>
        <v>3.5794183445190158E-3</v>
      </c>
      <c r="E64" s="11">
        <v>104.56</v>
      </c>
      <c r="F64" s="11">
        <v>156.62</v>
      </c>
      <c r="G64" s="11">
        <v>246.12</v>
      </c>
      <c r="H64" s="8">
        <f t="shared" si="4"/>
        <v>1</v>
      </c>
      <c r="I64" s="8">
        <f t="shared" si="2"/>
        <v>2</v>
      </c>
    </row>
    <row r="65" spans="1:9" x14ac:dyDescent="0.3">
      <c r="A65" s="6" t="s">
        <v>78</v>
      </c>
      <c r="B65" s="11">
        <v>4150</v>
      </c>
      <c r="C65" s="11">
        <v>265500</v>
      </c>
      <c r="D65" s="9">
        <f t="shared" si="3"/>
        <v>1.5630885122410548E-2</v>
      </c>
      <c r="E65" s="11">
        <v>800</v>
      </c>
      <c r="F65" s="11">
        <v>1000</v>
      </c>
      <c r="G65" s="11">
        <v>1410.41</v>
      </c>
      <c r="H65" s="8">
        <f t="shared" si="4"/>
        <v>1</v>
      </c>
      <c r="I65" s="8">
        <f t="shared" si="2"/>
        <v>3</v>
      </c>
    </row>
    <row r="66" spans="1:9" x14ac:dyDescent="0.3">
      <c r="A66" s="6" t="s">
        <v>79</v>
      </c>
      <c r="B66" s="11">
        <v>600</v>
      </c>
      <c r="C66" s="11">
        <v>91600</v>
      </c>
      <c r="D66" s="9">
        <f t="shared" si="3"/>
        <v>6.5502183406113534E-3</v>
      </c>
      <c r="E66" s="11">
        <v>272.69</v>
      </c>
      <c r="F66" s="11">
        <v>321.45</v>
      </c>
      <c r="G66" s="11">
        <v>374.81</v>
      </c>
      <c r="H66" s="8">
        <f t="shared" si="4"/>
        <v>1</v>
      </c>
      <c r="I66" s="8">
        <f t="shared" si="2"/>
        <v>2</v>
      </c>
    </row>
    <row r="67" spans="1:9" x14ac:dyDescent="0.3">
      <c r="A67" s="6" t="s">
        <v>80</v>
      </c>
      <c r="B67" s="11">
        <v>500</v>
      </c>
      <c r="C67" s="11">
        <v>169000</v>
      </c>
      <c r="D67" s="9">
        <f t="shared" si="3"/>
        <v>2.9585798816568047E-3</v>
      </c>
      <c r="E67" s="11">
        <v>243.69</v>
      </c>
      <c r="F67" s="11">
        <v>487.38</v>
      </c>
      <c r="G67" s="11">
        <v>487.38</v>
      </c>
      <c r="H67" s="8">
        <f t="shared" si="4"/>
        <v>0</v>
      </c>
      <c r="I67" s="8">
        <f t="shared" si="2"/>
        <v>1</v>
      </c>
    </row>
    <row r="68" spans="1:9" x14ac:dyDescent="0.3">
      <c r="A68" s="6" t="s">
        <v>81</v>
      </c>
      <c r="B68" s="11">
        <v>750</v>
      </c>
      <c r="C68" s="11">
        <v>24550</v>
      </c>
      <c r="D68" s="9">
        <f t="shared" si="3"/>
        <v>3.0549898167006109E-2</v>
      </c>
      <c r="E68" s="11">
        <v>2770.54</v>
      </c>
      <c r="F68" s="11">
        <v>2770.54</v>
      </c>
      <c r="G68" s="11">
        <v>2770.54</v>
      </c>
      <c r="H68" s="8">
        <f t="shared" si="4"/>
        <v>0</v>
      </c>
      <c r="I68" s="8">
        <f t="shared" si="2"/>
        <v>3</v>
      </c>
    </row>
    <row r="69" spans="1:9" x14ac:dyDescent="0.3">
      <c r="A69" s="6" t="s">
        <v>202</v>
      </c>
      <c r="B69" s="11">
        <v>800</v>
      </c>
      <c r="C69" s="11">
        <v>368000</v>
      </c>
      <c r="D69" s="9">
        <f t="shared" si="3"/>
        <v>2.1739130434782609E-3</v>
      </c>
      <c r="E69" s="11">
        <v>194.68</v>
      </c>
      <c r="F69" s="11">
        <v>405.21</v>
      </c>
      <c r="G69" s="11">
        <v>682.94</v>
      </c>
      <c r="H69" s="8">
        <f t="shared" si="4"/>
        <v>1</v>
      </c>
      <c r="I69" s="8">
        <f t="shared" si="2"/>
        <v>2</v>
      </c>
    </row>
    <row r="70" spans="1:9" x14ac:dyDescent="0.3">
      <c r="A70" s="6" t="s">
        <v>82</v>
      </c>
      <c r="B70" s="11">
        <v>1240</v>
      </c>
      <c r="C70" s="11">
        <v>135300</v>
      </c>
      <c r="D70" s="9">
        <f t="shared" si="3"/>
        <v>9.1648189209164819E-3</v>
      </c>
      <c r="E70" s="11">
        <v>469.7</v>
      </c>
      <c r="F70" s="11">
        <v>628.64</v>
      </c>
      <c r="G70" s="11">
        <v>776.54</v>
      </c>
      <c r="H70" s="8">
        <f t="shared" si="4"/>
        <v>1</v>
      </c>
      <c r="I70" s="8">
        <f t="shared" si="2"/>
        <v>3</v>
      </c>
    </row>
    <row r="71" spans="1:9" x14ac:dyDescent="0.3">
      <c r="A71" s="6" t="s">
        <v>83</v>
      </c>
      <c r="B71" s="11">
        <v>800</v>
      </c>
      <c r="C71" s="11">
        <v>161800</v>
      </c>
      <c r="D71" s="9">
        <f t="shared" si="3"/>
        <v>4.944375772558714E-3</v>
      </c>
      <c r="E71" s="11">
        <v>674.99</v>
      </c>
      <c r="F71" s="11">
        <v>674.99</v>
      </c>
      <c r="G71" s="11">
        <v>674.99</v>
      </c>
      <c r="H71" s="8">
        <f t="shared" si="4"/>
        <v>0</v>
      </c>
      <c r="I71" s="8">
        <f t="shared" si="2"/>
        <v>1</v>
      </c>
    </row>
    <row r="72" spans="1:9" x14ac:dyDescent="0.3">
      <c r="A72" s="6" t="s">
        <v>84</v>
      </c>
      <c r="B72" s="11">
        <v>0</v>
      </c>
      <c r="C72" s="11">
        <v>55700</v>
      </c>
      <c r="D72" s="9">
        <f t="shared" si="3"/>
        <v>0</v>
      </c>
      <c r="E72" s="11">
        <v>0</v>
      </c>
      <c r="F72" s="11">
        <v>0</v>
      </c>
      <c r="G72" s="11">
        <v>0</v>
      </c>
      <c r="H72" s="8">
        <f t="shared" si="4"/>
        <v>0</v>
      </c>
      <c r="I72" s="8">
        <f t="shared" si="2"/>
        <v>0</v>
      </c>
    </row>
    <row r="73" spans="1:9" x14ac:dyDescent="0.3">
      <c r="A73" s="6" t="s">
        <v>85</v>
      </c>
      <c r="B73" s="11">
        <v>7600</v>
      </c>
      <c r="C73" s="11">
        <v>167600</v>
      </c>
      <c r="D73" s="9">
        <f t="shared" ref="D73:D104" si="5">IFERROR(B73/C73,NA())</f>
        <v>4.5346062052505964E-2</v>
      </c>
      <c r="E73" s="11">
        <v>2762</v>
      </c>
      <c r="F73" s="11">
        <v>3182.3</v>
      </c>
      <c r="G73" s="11">
        <v>4082.96</v>
      </c>
      <c r="H73" s="8">
        <f t="shared" ref="H73:H104" si="6">IF(AND(E73&lt;F73,F73&lt;G73),1,0)</f>
        <v>1</v>
      </c>
      <c r="I73" s="8">
        <f t="shared" si="2"/>
        <v>5</v>
      </c>
    </row>
    <row r="74" spans="1:9" x14ac:dyDescent="0.3">
      <c r="A74" s="6" t="s">
        <v>86</v>
      </c>
      <c r="B74" s="11">
        <v>3000</v>
      </c>
      <c r="C74" s="11">
        <v>278000</v>
      </c>
      <c r="D74" s="9">
        <f t="shared" si="5"/>
        <v>1.0791366906474821E-2</v>
      </c>
      <c r="E74" s="11">
        <v>322.92</v>
      </c>
      <c r="F74" s="11">
        <v>821.97</v>
      </c>
      <c r="G74" s="11">
        <v>861.34</v>
      </c>
      <c r="H74" s="8">
        <f t="shared" si="6"/>
        <v>1</v>
      </c>
      <c r="I74" s="8">
        <f t="shared" ref="I74:I137" si="7">IFERROR(MIN(4,INT((_xlfn.RANK.AVG(D74,$D$9:$D$207,1)-1)*5/COUNT($D$9:$D$207)))+H74,NA())</f>
        <v>3</v>
      </c>
    </row>
    <row r="75" spans="1:9" x14ac:dyDescent="0.3">
      <c r="A75" s="6" t="s">
        <v>87</v>
      </c>
      <c r="B75" s="11">
        <v>0</v>
      </c>
      <c r="C75" s="11">
        <v>99900</v>
      </c>
      <c r="D75" s="9">
        <f t="shared" si="5"/>
        <v>0</v>
      </c>
      <c r="E75" s="11">
        <v>0</v>
      </c>
      <c r="F75" s="11">
        <v>0</v>
      </c>
      <c r="G75" s="11">
        <v>0</v>
      </c>
      <c r="H75" s="8">
        <f t="shared" si="6"/>
        <v>0</v>
      </c>
      <c r="I75" s="8">
        <f t="shared" si="7"/>
        <v>0</v>
      </c>
    </row>
    <row r="76" spans="1:9" x14ac:dyDescent="0.3">
      <c r="A76" s="6" t="s">
        <v>88</v>
      </c>
      <c r="B76" s="11">
        <v>1100</v>
      </c>
      <c r="C76" s="11">
        <v>133400</v>
      </c>
      <c r="D76" s="9">
        <f t="shared" si="5"/>
        <v>8.2458770614692659E-3</v>
      </c>
      <c r="E76" s="11">
        <v>737.31</v>
      </c>
      <c r="F76" s="11">
        <v>737.31</v>
      </c>
      <c r="G76" s="11">
        <v>721.63</v>
      </c>
      <c r="H76" s="8">
        <f t="shared" si="6"/>
        <v>0</v>
      </c>
      <c r="I76" s="8">
        <f t="shared" si="7"/>
        <v>1</v>
      </c>
    </row>
    <row r="77" spans="1:9" x14ac:dyDescent="0.3">
      <c r="A77" s="6" t="s">
        <v>89</v>
      </c>
      <c r="B77" s="11">
        <v>8690</v>
      </c>
      <c r="C77" s="11">
        <v>240000</v>
      </c>
      <c r="D77" s="9">
        <f t="shared" si="5"/>
        <v>3.6208333333333335E-2</v>
      </c>
      <c r="E77" s="11">
        <v>1346.61</v>
      </c>
      <c r="F77" s="11">
        <v>1550.99</v>
      </c>
      <c r="G77" s="11">
        <v>2327.67</v>
      </c>
      <c r="H77" s="8">
        <f t="shared" si="6"/>
        <v>1</v>
      </c>
      <c r="I77" s="8">
        <f t="shared" si="7"/>
        <v>5</v>
      </c>
    </row>
    <row r="78" spans="1:9" x14ac:dyDescent="0.3">
      <c r="A78" s="6" t="s">
        <v>90</v>
      </c>
      <c r="B78" s="11">
        <v>2657</v>
      </c>
      <c r="C78" s="11">
        <v>86100</v>
      </c>
      <c r="D78" s="9">
        <f t="shared" si="5"/>
        <v>3.0859465737514517E-2</v>
      </c>
      <c r="E78" s="11">
        <v>943.33</v>
      </c>
      <c r="F78" s="11">
        <v>979.61</v>
      </c>
      <c r="G78" s="11">
        <v>1891.21</v>
      </c>
      <c r="H78" s="8">
        <f t="shared" si="6"/>
        <v>1</v>
      </c>
      <c r="I78" s="8">
        <f t="shared" si="7"/>
        <v>4</v>
      </c>
    </row>
    <row r="79" spans="1:9" x14ac:dyDescent="0.3">
      <c r="A79" s="6" t="s">
        <v>91</v>
      </c>
      <c r="B79" s="11">
        <v>330</v>
      </c>
      <c r="C79" s="11">
        <v>134500</v>
      </c>
      <c r="D79" s="9">
        <f t="shared" si="5"/>
        <v>2.453531598513011E-3</v>
      </c>
      <c r="E79" s="11">
        <v>6404.09</v>
      </c>
      <c r="F79" s="11">
        <v>1980.11</v>
      </c>
      <c r="G79" s="11">
        <v>146.49</v>
      </c>
      <c r="H79" s="8">
        <f t="shared" si="6"/>
        <v>0</v>
      </c>
      <c r="I79" s="8">
        <f t="shared" si="7"/>
        <v>1</v>
      </c>
    </row>
    <row r="80" spans="1:9" x14ac:dyDescent="0.3">
      <c r="A80" s="6" t="s">
        <v>92</v>
      </c>
      <c r="B80" s="11">
        <v>0</v>
      </c>
      <c r="C80" s="11">
        <v>50700</v>
      </c>
      <c r="D80" s="9">
        <f t="shared" si="5"/>
        <v>0</v>
      </c>
      <c r="E80" s="11">
        <v>0</v>
      </c>
      <c r="F80" s="11">
        <v>516.94000000000005</v>
      </c>
      <c r="G80" s="11">
        <v>516.95000000000005</v>
      </c>
      <c r="H80" s="8">
        <f t="shared" si="6"/>
        <v>1</v>
      </c>
      <c r="I80" s="8">
        <f t="shared" si="7"/>
        <v>1</v>
      </c>
    </row>
    <row r="81" spans="1:9" x14ac:dyDescent="0.3">
      <c r="A81" s="6" t="s">
        <v>93</v>
      </c>
      <c r="B81" s="11">
        <v>7500</v>
      </c>
      <c r="C81" s="11">
        <v>3912000</v>
      </c>
      <c r="D81" s="9">
        <f t="shared" si="5"/>
        <v>1.9171779141104294E-3</v>
      </c>
      <c r="E81" s="11">
        <v>0</v>
      </c>
      <c r="F81" s="11">
        <v>232.79</v>
      </c>
      <c r="G81" s="11">
        <v>465.59</v>
      </c>
      <c r="H81" s="8">
        <f t="shared" si="6"/>
        <v>1</v>
      </c>
      <c r="I81" s="8">
        <f t="shared" si="7"/>
        <v>2</v>
      </c>
    </row>
    <row r="82" spans="1:9" x14ac:dyDescent="0.3">
      <c r="A82" s="6" t="s">
        <v>94</v>
      </c>
      <c r="B82" s="11">
        <v>1300</v>
      </c>
      <c r="C82" s="11">
        <v>33650</v>
      </c>
      <c r="D82" s="9">
        <f t="shared" si="5"/>
        <v>3.8632986627043092E-2</v>
      </c>
      <c r="E82" s="11">
        <v>2458.41</v>
      </c>
      <c r="F82" s="11">
        <v>2808.26</v>
      </c>
      <c r="G82" s="11">
        <v>3293.39</v>
      </c>
      <c r="H82" s="8">
        <f t="shared" si="6"/>
        <v>1</v>
      </c>
      <c r="I82" s="8">
        <f t="shared" si="7"/>
        <v>5</v>
      </c>
    </row>
    <row r="83" spans="1:9" x14ac:dyDescent="0.3">
      <c r="A83" s="6" t="s">
        <v>95</v>
      </c>
      <c r="B83" s="11">
        <v>2800</v>
      </c>
      <c r="C83" s="11">
        <v>53300</v>
      </c>
      <c r="D83" s="9">
        <f t="shared" si="5"/>
        <v>5.2532833020637902E-2</v>
      </c>
      <c r="E83" s="11">
        <v>2667.77</v>
      </c>
      <c r="F83" s="11">
        <v>2667.77</v>
      </c>
      <c r="G83" s="11">
        <v>2987.9</v>
      </c>
      <c r="H83" s="8">
        <f t="shared" si="6"/>
        <v>0</v>
      </c>
      <c r="I83" s="8">
        <f t="shared" si="7"/>
        <v>4</v>
      </c>
    </row>
    <row r="84" spans="1:9" x14ac:dyDescent="0.3">
      <c r="A84" s="6" t="s">
        <v>96</v>
      </c>
      <c r="B84" s="11">
        <v>2500</v>
      </c>
      <c r="C84" s="11">
        <v>453000</v>
      </c>
      <c r="D84" s="9">
        <f t="shared" si="5"/>
        <v>5.5187637969094927E-3</v>
      </c>
      <c r="E84" s="11">
        <v>425.61</v>
      </c>
      <c r="F84" s="11">
        <v>438.95</v>
      </c>
      <c r="G84" s="11">
        <v>451.23</v>
      </c>
      <c r="H84" s="8">
        <f t="shared" si="6"/>
        <v>1</v>
      </c>
      <c r="I84" s="8">
        <f t="shared" si="7"/>
        <v>2</v>
      </c>
    </row>
    <row r="85" spans="1:9" x14ac:dyDescent="0.3">
      <c r="A85" s="6" t="s">
        <v>97</v>
      </c>
      <c r="B85" s="11">
        <v>4000</v>
      </c>
      <c r="C85" s="11">
        <v>107500</v>
      </c>
      <c r="D85" s="9">
        <f t="shared" si="5"/>
        <v>3.7209302325581395E-2</v>
      </c>
      <c r="E85" s="11">
        <v>1518.1</v>
      </c>
      <c r="F85" s="11">
        <v>1964.6</v>
      </c>
      <c r="G85" s="11">
        <v>3125.5</v>
      </c>
      <c r="H85" s="8">
        <f t="shared" si="6"/>
        <v>1</v>
      </c>
      <c r="I85" s="8">
        <f t="shared" si="7"/>
        <v>5</v>
      </c>
    </row>
    <row r="86" spans="1:9" x14ac:dyDescent="0.3">
      <c r="A86" s="6" t="s">
        <v>98</v>
      </c>
      <c r="B86" s="11">
        <v>660</v>
      </c>
      <c r="C86" s="11">
        <v>15840</v>
      </c>
      <c r="D86" s="9">
        <f t="shared" si="5"/>
        <v>4.1666666666666664E-2</v>
      </c>
      <c r="E86" s="11">
        <v>2793.88</v>
      </c>
      <c r="F86" s="11">
        <v>2793.88</v>
      </c>
      <c r="G86" s="11">
        <v>2793.88</v>
      </c>
      <c r="H86" s="8">
        <f t="shared" si="6"/>
        <v>0</v>
      </c>
      <c r="I86" s="8">
        <f t="shared" si="7"/>
        <v>4</v>
      </c>
    </row>
    <row r="87" spans="1:9" x14ac:dyDescent="0.3">
      <c r="A87" s="6" t="s">
        <v>99</v>
      </c>
      <c r="B87" s="11">
        <v>2000</v>
      </c>
      <c r="C87" s="11">
        <v>254000</v>
      </c>
      <c r="D87" s="9">
        <f t="shared" si="5"/>
        <v>7.874015748031496E-3</v>
      </c>
      <c r="E87" s="11">
        <v>671.29</v>
      </c>
      <c r="F87" s="11">
        <v>587.51</v>
      </c>
      <c r="G87" s="11">
        <v>587.51</v>
      </c>
      <c r="H87" s="8">
        <f t="shared" si="6"/>
        <v>0</v>
      </c>
      <c r="I87" s="8">
        <f t="shared" si="7"/>
        <v>1</v>
      </c>
    </row>
    <row r="88" spans="1:9" x14ac:dyDescent="0.3">
      <c r="A88" s="6" t="s">
        <v>100</v>
      </c>
      <c r="B88" s="11">
        <v>876</v>
      </c>
      <c r="C88" s="11">
        <v>49650</v>
      </c>
      <c r="D88" s="9">
        <f t="shared" si="5"/>
        <v>1.7643504531722056E-2</v>
      </c>
      <c r="E88" s="11">
        <v>0</v>
      </c>
      <c r="F88" s="11">
        <v>0</v>
      </c>
      <c r="G88" s="11">
        <v>341.67</v>
      </c>
      <c r="H88" s="8">
        <f t="shared" si="6"/>
        <v>0</v>
      </c>
      <c r="I88" s="8">
        <f t="shared" si="7"/>
        <v>2</v>
      </c>
    </row>
    <row r="89" spans="1:9" x14ac:dyDescent="0.3">
      <c r="A89" s="6" t="s">
        <v>101</v>
      </c>
      <c r="B89" s="11">
        <v>5090</v>
      </c>
      <c r="C89" s="11">
        <v>424500</v>
      </c>
      <c r="D89" s="9">
        <f t="shared" si="5"/>
        <v>1.1990577149587751E-2</v>
      </c>
      <c r="E89" s="11">
        <v>0</v>
      </c>
      <c r="F89" s="11">
        <v>0</v>
      </c>
      <c r="G89" s="11">
        <v>0</v>
      </c>
      <c r="H89" s="8">
        <f t="shared" si="6"/>
        <v>0</v>
      </c>
      <c r="I89" s="8">
        <f t="shared" si="7"/>
        <v>2</v>
      </c>
    </row>
    <row r="90" spans="1:9" x14ac:dyDescent="0.3">
      <c r="A90" s="6" t="s">
        <v>102</v>
      </c>
      <c r="B90" s="11">
        <v>1850</v>
      </c>
      <c r="C90" s="11">
        <v>65000</v>
      </c>
      <c r="D90" s="9">
        <f t="shared" si="5"/>
        <v>2.8461538461538462E-2</v>
      </c>
      <c r="E90" s="11">
        <v>1037.6500000000001</v>
      </c>
      <c r="F90" s="11">
        <v>1325.4</v>
      </c>
      <c r="G90" s="11">
        <v>1457.94</v>
      </c>
      <c r="H90" s="8">
        <f t="shared" si="6"/>
        <v>1</v>
      </c>
      <c r="I90" s="8">
        <f t="shared" si="7"/>
        <v>4</v>
      </c>
    </row>
    <row r="91" spans="1:9" x14ac:dyDescent="0.3">
      <c r="A91" s="6" t="s">
        <v>103</v>
      </c>
      <c r="B91" s="11">
        <v>2300</v>
      </c>
      <c r="C91" s="11">
        <v>59200</v>
      </c>
      <c r="D91" s="9">
        <f t="shared" si="5"/>
        <v>3.885135135135135E-2</v>
      </c>
      <c r="E91" s="11">
        <v>975.91</v>
      </c>
      <c r="F91" s="11">
        <v>1585.85</v>
      </c>
      <c r="G91" s="11">
        <v>2439.7800000000002</v>
      </c>
      <c r="H91" s="8">
        <f t="shared" si="6"/>
        <v>1</v>
      </c>
      <c r="I91" s="8">
        <f t="shared" si="7"/>
        <v>5</v>
      </c>
    </row>
    <row r="92" spans="1:9" x14ac:dyDescent="0.3">
      <c r="A92" s="6" t="s">
        <v>104</v>
      </c>
      <c r="B92" s="11">
        <v>1700</v>
      </c>
      <c r="C92" s="11">
        <v>72000</v>
      </c>
      <c r="D92" s="9">
        <f t="shared" si="5"/>
        <v>2.361111111111111E-2</v>
      </c>
      <c r="E92" s="11">
        <v>1352.92</v>
      </c>
      <c r="F92" s="11">
        <v>1602.44</v>
      </c>
      <c r="G92" s="11">
        <v>1590.86</v>
      </c>
      <c r="H92" s="8">
        <f t="shared" si="6"/>
        <v>0</v>
      </c>
      <c r="I92" s="8">
        <f t="shared" si="7"/>
        <v>3</v>
      </c>
    </row>
    <row r="93" spans="1:9" x14ac:dyDescent="0.3">
      <c r="A93" s="6" t="s">
        <v>105</v>
      </c>
      <c r="B93" s="11">
        <v>11500</v>
      </c>
      <c r="C93" s="11">
        <v>398000</v>
      </c>
      <c r="D93" s="9">
        <f t="shared" si="5"/>
        <v>2.8894472361809045E-2</v>
      </c>
      <c r="E93" s="11">
        <v>892.18</v>
      </c>
      <c r="F93" s="11">
        <v>880.99</v>
      </c>
      <c r="G93" s="11">
        <v>2056.79</v>
      </c>
      <c r="H93" s="8">
        <f t="shared" si="6"/>
        <v>0</v>
      </c>
      <c r="I93" s="8">
        <f t="shared" si="7"/>
        <v>3</v>
      </c>
    </row>
    <row r="94" spans="1:9" x14ac:dyDescent="0.3">
      <c r="A94" s="6" t="s">
        <v>106</v>
      </c>
      <c r="B94" s="11">
        <v>3300</v>
      </c>
      <c r="C94" s="11">
        <v>224500</v>
      </c>
      <c r="D94" s="9">
        <f t="shared" si="5"/>
        <v>1.4699331848552339E-2</v>
      </c>
      <c r="E94" s="11">
        <v>839.4</v>
      </c>
      <c r="F94" s="11">
        <v>1007.06</v>
      </c>
      <c r="G94" s="11">
        <v>1007.06</v>
      </c>
      <c r="H94" s="8">
        <f t="shared" si="6"/>
        <v>0</v>
      </c>
      <c r="I94" s="8">
        <f t="shared" si="7"/>
        <v>2</v>
      </c>
    </row>
    <row r="95" spans="1:9" x14ac:dyDescent="0.3">
      <c r="A95" s="6" t="s">
        <v>107</v>
      </c>
      <c r="B95" s="11">
        <v>790</v>
      </c>
      <c r="C95" s="11">
        <v>53100</v>
      </c>
      <c r="D95" s="9">
        <f t="shared" si="5"/>
        <v>1.487758945386064E-2</v>
      </c>
      <c r="E95" s="11">
        <v>0</v>
      </c>
      <c r="F95" s="11">
        <v>0</v>
      </c>
      <c r="G95" s="11">
        <v>1293.5999999999999</v>
      </c>
      <c r="H95" s="8">
        <f t="shared" si="6"/>
        <v>0</v>
      </c>
      <c r="I95" s="8">
        <f t="shared" si="7"/>
        <v>2</v>
      </c>
    </row>
    <row r="96" spans="1:9" x14ac:dyDescent="0.3">
      <c r="A96" s="6" t="s">
        <v>108</v>
      </c>
      <c r="B96" s="11">
        <v>3500</v>
      </c>
      <c r="C96" s="11">
        <v>143600</v>
      </c>
      <c r="D96" s="9">
        <f t="shared" si="5"/>
        <v>2.4373259052924791E-2</v>
      </c>
      <c r="E96" s="11">
        <v>375.52</v>
      </c>
      <c r="F96" s="11">
        <v>494.11</v>
      </c>
      <c r="G96" s="11">
        <v>988.22</v>
      </c>
      <c r="H96" s="8">
        <f t="shared" si="6"/>
        <v>1</v>
      </c>
      <c r="I96" s="8">
        <f t="shared" si="7"/>
        <v>4</v>
      </c>
    </row>
    <row r="97" spans="1:9" x14ac:dyDescent="0.3">
      <c r="A97" s="6" t="s">
        <v>109</v>
      </c>
      <c r="B97" s="11">
        <v>0</v>
      </c>
      <c r="C97" s="11">
        <v>12260</v>
      </c>
      <c r="D97" s="9">
        <f t="shared" si="5"/>
        <v>0</v>
      </c>
      <c r="E97" s="11">
        <v>0</v>
      </c>
      <c r="F97" s="11">
        <v>0</v>
      </c>
      <c r="G97" s="11">
        <v>0</v>
      </c>
      <c r="H97" s="8">
        <f t="shared" si="6"/>
        <v>0</v>
      </c>
      <c r="I97" s="8">
        <f t="shared" si="7"/>
        <v>0</v>
      </c>
    </row>
    <row r="98" spans="1:9" x14ac:dyDescent="0.3">
      <c r="A98" s="6" t="s">
        <v>110</v>
      </c>
      <c r="B98" s="11">
        <v>3000</v>
      </c>
      <c r="C98" s="11">
        <v>81900</v>
      </c>
      <c r="D98" s="9">
        <f t="shared" si="5"/>
        <v>3.6630036630036632E-2</v>
      </c>
      <c r="E98" s="11">
        <v>2367.77</v>
      </c>
      <c r="F98" s="11">
        <v>2367.77</v>
      </c>
      <c r="G98" s="11">
        <v>2557.12</v>
      </c>
      <c r="H98" s="8">
        <f t="shared" si="6"/>
        <v>0</v>
      </c>
      <c r="I98" s="8">
        <f t="shared" si="7"/>
        <v>4</v>
      </c>
    </row>
    <row r="99" spans="1:9" x14ac:dyDescent="0.3">
      <c r="A99" s="6" t="s">
        <v>111</v>
      </c>
      <c r="B99" s="11">
        <v>500</v>
      </c>
      <c r="C99" s="11">
        <v>42550</v>
      </c>
      <c r="D99" s="9">
        <f t="shared" si="5"/>
        <v>1.1750881316098707E-2</v>
      </c>
      <c r="E99" s="11">
        <v>1315.46</v>
      </c>
      <c r="F99" s="11">
        <v>1315.46</v>
      </c>
      <c r="G99" s="11">
        <v>986.59</v>
      </c>
      <c r="H99" s="8">
        <f t="shared" si="6"/>
        <v>0</v>
      </c>
      <c r="I99" s="8">
        <f t="shared" si="7"/>
        <v>2</v>
      </c>
    </row>
    <row r="100" spans="1:9" x14ac:dyDescent="0.3">
      <c r="A100" s="6" t="s">
        <v>112</v>
      </c>
      <c r="B100" s="11">
        <v>1900</v>
      </c>
      <c r="C100" s="11">
        <v>450500</v>
      </c>
      <c r="D100" s="9">
        <f t="shared" si="5"/>
        <v>4.2175360710321862E-3</v>
      </c>
      <c r="E100" s="11">
        <v>312.62</v>
      </c>
      <c r="F100" s="11">
        <v>392.15</v>
      </c>
      <c r="G100" s="11">
        <v>488.13</v>
      </c>
      <c r="H100" s="8">
        <f t="shared" si="6"/>
        <v>1</v>
      </c>
      <c r="I100" s="8">
        <f t="shared" si="7"/>
        <v>2</v>
      </c>
    </row>
    <row r="101" spans="1:9" x14ac:dyDescent="0.3">
      <c r="A101" s="6" t="s">
        <v>113</v>
      </c>
      <c r="B101" s="11">
        <v>2000</v>
      </c>
      <c r="C101" s="11">
        <v>460000</v>
      </c>
      <c r="D101" s="9">
        <f t="shared" si="5"/>
        <v>4.3478260869565218E-3</v>
      </c>
      <c r="E101" s="11">
        <v>61.05</v>
      </c>
      <c r="F101" s="11">
        <v>62.21</v>
      </c>
      <c r="G101" s="11">
        <v>158.5</v>
      </c>
      <c r="H101" s="8">
        <f t="shared" si="6"/>
        <v>1</v>
      </c>
      <c r="I101" s="8">
        <f t="shared" si="7"/>
        <v>2</v>
      </c>
    </row>
    <row r="102" spans="1:9" x14ac:dyDescent="0.3">
      <c r="A102" s="6" t="s">
        <v>114</v>
      </c>
      <c r="B102" s="11">
        <v>1150</v>
      </c>
      <c r="C102" s="11">
        <v>270500</v>
      </c>
      <c r="D102" s="9">
        <f t="shared" si="5"/>
        <v>4.2513863216266171E-3</v>
      </c>
      <c r="E102" s="11">
        <v>1356.54</v>
      </c>
      <c r="F102" s="11">
        <v>635.62</v>
      </c>
      <c r="G102" s="11">
        <v>283.14</v>
      </c>
      <c r="H102" s="8">
        <f t="shared" si="6"/>
        <v>0</v>
      </c>
      <c r="I102" s="8">
        <f t="shared" si="7"/>
        <v>1</v>
      </c>
    </row>
    <row r="103" spans="1:9" x14ac:dyDescent="0.3">
      <c r="A103" s="6" t="s">
        <v>115</v>
      </c>
      <c r="B103" s="11">
        <v>1291</v>
      </c>
      <c r="C103" s="11">
        <v>27300</v>
      </c>
      <c r="D103" s="9">
        <f t="shared" si="5"/>
        <v>4.7289377289377287E-2</v>
      </c>
      <c r="E103" s="11">
        <v>1622.77</v>
      </c>
      <c r="F103" s="11">
        <v>1640.98</v>
      </c>
      <c r="G103" s="11">
        <v>1897.02</v>
      </c>
      <c r="H103" s="8">
        <f t="shared" si="6"/>
        <v>1</v>
      </c>
      <c r="I103" s="8">
        <f t="shared" si="7"/>
        <v>5</v>
      </c>
    </row>
    <row r="104" spans="1:9" x14ac:dyDescent="0.3">
      <c r="A104" s="6" t="s">
        <v>116</v>
      </c>
      <c r="B104" s="11">
        <v>765</v>
      </c>
      <c r="C104" s="11">
        <v>18730</v>
      </c>
      <c r="D104" s="9">
        <f t="shared" si="5"/>
        <v>4.0843566470902294E-2</v>
      </c>
      <c r="E104" s="11">
        <v>2027.7</v>
      </c>
      <c r="F104" s="11">
        <v>1642.65</v>
      </c>
      <c r="G104" s="11">
        <v>2073.6</v>
      </c>
      <c r="H104" s="8">
        <f t="shared" si="6"/>
        <v>0</v>
      </c>
      <c r="I104" s="8">
        <f t="shared" si="7"/>
        <v>4</v>
      </c>
    </row>
    <row r="105" spans="1:9" x14ac:dyDescent="0.3">
      <c r="A105" s="6" t="s">
        <v>117</v>
      </c>
      <c r="B105" s="11">
        <v>6000</v>
      </c>
      <c r="C105" s="11">
        <v>246500</v>
      </c>
      <c r="D105" s="9">
        <f t="shared" ref="D105:D136" si="8">IFERROR(B105/C105,NA())</f>
        <v>2.434077079107505E-2</v>
      </c>
      <c r="E105" s="11">
        <v>881.94</v>
      </c>
      <c r="F105" s="11">
        <v>881.94</v>
      </c>
      <c r="G105" s="11">
        <v>962.05</v>
      </c>
      <c r="H105" s="8">
        <f t="shared" ref="H105:H136" si="9">IF(AND(E105&lt;F105,F105&lt;G105),1,0)</f>
        <v>0</v>
      </c>
      <c r="I105" s="8">
        <f t="shared" si="7"/>
        <v>3</v>
      </c>
    </row>
    <row r="106" spans="1:9" x14ac:dyDescent="0.3">
      <c r="A106" s="6" t="s">
        <v>118</v>
      </c>
      <c r="B106" s="11">
        <v>950</v>
      </c>
      <c r="C106" s="11">
        <v>17200</v>
      </c>
      <c r="D106" s="9">
        <f t="shared" si="8"/>
        <v>5.5232558139534885E-2</v>
      </c>
      <c r="E106" s="11">
        <v>709.59</v>
      </c>
      <c r="F106" s="11">
        <v>1885.47</v>
      </c>
      <c r="G106" s="11">
        <v>2344.75</v>
      </c>
      <c r="H106" s="8">
        <f t="shared" si="9"/>
        <v>1</v>
      </c>
      <c r="I106" s="8">
        <f t="shared" si="7"/>
        <v>5</v>
      </c>
    </row>
    <row r="107" spans="1:9" x14ac:dyDescent="0.3">
      <c r="A107" s="6" t="s">
        <v>119</v>
      </c>
      <c r="B107" s="11">
        <v>0</v>
      </c>
      <c r="C107" s="11">
        <v>118000</v>
      </c>
      <c r="D107" s="9">
        <f t="shared" si="8"/>
        <v>0</v>
      </c>
      <c r="E107" s="11">
        <v>373.82</v>
      </c>
      <c r="F107" s="11">
        <v>0</v>
      </c>
      <c r="G107" s="11">
        <v>0</v>
      </c>
      <c r="H107" s="8">
        <f t="shared" si="9"/>
        <v>0</v>
      </c>
      <c r="I107" s="8">
        <f t="shared" si="7"/>
        <v>0</v>
      </c>
    </row>
    <row r="108" spans="1:9" x14ac:dyDescent="0.3">
      <c r="A108" s="6" t="s">
        <v>203</v>
      </c>
      <c r="B108" s="11">
        <v>0</v>
      </c>
      <c r="C108" s="11">
        <v>43050</v>
      </c>
      <c r="D108" s="9">
        <f t="shared" si="8"/>
        <v>0</v>
      </c>
      <c r="E108" s="11">
        <v>0</v>
      </c>
      <c r="F108" s="11">
        <v>0</v>
      </c>
      <c r="G108" s="11">
        <v>0</v>
      </c>
      <c r="H108" s="8">
        <f t="shared" si="9"/>
        <v>0</v>
      </c>
      <c r="I108" s="8">
        <f t="shared" si="7"/>
        <v>0</v>
      </c>
    </row>
    <row r="109" spans="1:9" x14ac:dyDescent="0.3">
      <c r="A109" s="6" t="s">
        <v>120</v>
      </c>
      <c r="B109" s="11">
        <v>1880</v>
      </c>
      <c r="C109" s="11">
        <v>573000</v>
      </c>
      <c r="D109" s="9">
        <f t="shared" si="8"/>
        <v>3.2809773123909248E-3</v>
      </c>
      <c r="E109" s="11">
        <v>982.08</v>
      </c>
      <c r="F109" s="11">
        <v>617.64</v>
      </c>
      <c r="G109" s="11">
        <v>494.59</v>
      </c>
      <c r="H109" s="8">
        <f t="shared" si="9"/>
        <v>0</v>
      </c>
      <c r="I109" s="8">
        <f t="shared" si="7"/>
        <v>1</v>
      </c>
    </row>
    <row r="110" spans="1:9" x14ac:dyDescent="0.3">
      <c r="A110" s="6" t="s">
        <v>121</v>
      </c>
      <c r="B110" s="11">
        <v>1154</v>
      </c>
      <c r="C110" s="11">
        <v>39100</v>
      </c>
      <c r="D110" s="9">
        <f t="shared" si="8"/>
        <v>2.9514066496163682E-2</v>
      </c>
      <c r="E110" s="11">
        <v>0</v>
      </c>
      <c r="F110" s="11">
        <v>0</v>
      </c>
      <c r="G110" s="11">
        <v>1269.8599999999999</v>
      </c>
      <c r="H110" s="8">
        <f t="shared" si="9"/>
        <v>0</v>
      </c>
      <c r="I110" s="8">
        <f t="shared" si="7"/>
        <v>3</v>
      </c>
    </row>
    <row r="111" spans="1:9" x14ac:dyDescent="0.3">
      <c r="A111" s="6" t="s">
        <v>204</v>
      </c>
      <c r="B111" s="11">
        <v>125</v>
      </c>
      <c r="C111" s="11">
        <v>34900</v>
      </c>
      <c r="D111" s="9">
        <f t="shared" si="8"/>
        <v>3.5816618911174787E-3</v>
      </c>
      <c r="E111" s="11">
        <v>113.86</v>
      </c>
      <c r="F111" s="11">
        <v>151.82</v>
      </c>
      <c r="G111" s="11">
        <v>189.78</v>
      </c>
      <c r="H111" s="8">
        <f t="shared" si="9"/>
        <v>1</v>
      </c>
      <c r="I111" s="8">
        <f t="shared" si="7"/>
        <v>2</v>
      </c>
    </row>
    <row r="112" spans="1:9" x14ac:dyDescent="0.3">
      <c r="A112" s="6" t="s">
        <v>205</v>
      </c>
      <c r="B112" s="11">
        <v>0</v>
      </c>
      <c r="C112" s="11">
        <v>110200</v>
      </c>
      <c r="D112" s="9">
        <f t="shared" si="8"/>
        <v>0</v>
      </c>
      <c r="E112" s="11">
        <v>0</v>
      </c>
      <c r="F112" s="11">
        <v>0</v>
      </c>
      <c r="G112" s="11">
        <v>0</v>
      </c>
      <c r="H112" s="8">
        <f t="shared" si="9"/>
        <v>0</v>
      </c>
      <c r="I112" s="8">
        <f t="shared" si="7"/>
        <v>0</v>
      </c>
    </row>
    <row r="113" spans="1:9" x14ac:dyDescent="0.3">
      <c r="A113" s="6" t="s">
        <v>122</v>
      </c>
      <c r="B113" s="11">
        <v>230</v>
      </c>
      <c r="C113" s="11">
        <v>150300</v>
      </c>
      <c r="D113" s="9">
        <f t="shared" si="8"/>
        <v>1.5302727877578178E-3</v>
      </c>
      <c r="E113" s="11">
        <v>63.25</v>
      </c>
      <c r="F113" s="11">
        <v>63.25</v>
      </c>
      <c r="G113" s="11">
        <v>94.87</v>
      </c>
      <c r="H113" s="8">
        <f t="shared" si="9"/>
        <v>0</v>
      </c>
      <c r="I113" s="8">
        <f t="shared" si="7"/>
        <v>0</v>
      </c>
    </row>
    <row r="114" spans="1:9" x14ac:dyDescent="0.3">
      <c r="A114" s="6" t="s">
        <v>123</v>
      </c>
      <c r="B114" s="11">
        <v>1700</v>
      </c>
      <c r="C114" s="11">
        <v>146600</v>
      </c>
      <c r="D114" s="9">
        <f t="shared" si="8"/>
        <v>1.1596180081855388E-2</v>
      </c>
      <c r="E114" s="11">
        <v>1464.32</v>
      </c>
      <c r="F114" s="11">
        <v>764.86</v>
      </c>
      <c r="G114" s="11">
        <v>573.16999999999996</v>
      </c>
      <c r="H114" s="8">
        <f t="shared" si="9"/>
        <v>0</v>
      </c>
      <c r="I114" s="8">
        <f t="shared" si="7"/>
        <v>2</v>
      </c>
    </row>
    <row r="115" spans="1:9" x14ac:dyDescent="0.3">
      <c r="A115" s="6" t="s">
        <v>124</v>
      </c>
      <c r="B115" s="11">
        <v>1250</v>
      </c>
      <c r="C115" s="11">
        <v>30550</v>
      </c>
      <c r="D115" s="9">
        <f t="shared" si="8"/>
        <v>4.0916530278232409E-2</v>
      </c>
      <c r="E115" s="11">
        <v>1073.3399999999999</v>
      </c>
      <c r="F115" s="11">
        <v>1073.3399999999999</v>
      </c>
      <c r="G115" s="11">
        <v>858.74</v>
      </c>
      <c r="H115" s="8">
        <f t="shared" si="9"/>
        <v>0</v>
      </c>
      <c r="I115" s="8">
        <f t="shared" si="7"/>
        <v>4</v>
      </c>
    </row>
    <row r="116" spans="1:9" x14ac:dyDescent="0.3">
      <c r="A116" s="6" t="s">
        <v>125</v>
      </c>
      <c r="B116" s="11">
        <v>0</v>
      </c>
      <c r="C116" s="11">
        <v>80300</v>
      </c>
      <c r="D116" s="9">
        <f t="shared" si="8"/>
        <v>0</v>
      </c>
      <c r="E116" s="11">
        <v>0</v>
      </c>
      <c r="F116" s="11">
        <v>0</v>
      </c>
      <c r="G116" s="11">
        <v>0</v>
      </c>
      <c r="H116" s="8">
        <f t="shared" si="9"/>
        <v>0</v>
      </c>
      <c r="I116" s="8">
        <f t="shared" si="7"/>
        <v>0</v>
      </c>
    </row>
    <row r="117" spans="1:9" x14ac:dyDescent="0.3">
      <c r="A117" s="6" t="s">
        <v>206</v>
      </c>
      <c r="B117" s="11">
        <v>15010</v>
      </c>
      <c r="C117" s="11">
        <v>98700</v>
      </c>
      <c r="D117" s="9">
        <f t="shared" si="8"/>
        <v>0.15207700101317123</v>
      </c>
      <c r="E117" s="11">
        <v>198.91</v>
      </c>
      <c r="F117" s="11">
        <v>1444.2</v>
      </c>
      <c r="G117" s="11">
        <v>1985.78</v>
      </c>
      <c r="H117" s="8">
        <f t="shared" si="9"/>
        <v>1</v>
      </c>
      <c r="I117" s="8">
        <f t="shared" si="7"/>
        <v>5</v>
      </c>
    </row>
    <row r="118" spans="1:9" x14ac:dyDescent="0.3">
      <c r="A118" s="6" t="s">
        <v>126</v>
      </c>
      <c r="B118" s="11">
        <v>0</v>
      </c>
      <c r="C118" s="11">
        <v>56300</v>
      </c>
      <c r="D118" s="9">
        <f t="shared" si="8"/>
        <v>0</v>
      </c>
      <c r="E118" s="11">
        <v>0</v>
      </c>
      <c r="F118" s="11">
        <v>0</v>
      </c>
      <c r="G118" s="11">
        <v>0</v>
      </c>
      <c r="H118" s="8">
        <f t="shared" si="9"/>
        <v>0</v>
      </c>
      <c r="I118" s="8">
        <f t="shared" si="7"/>
        <v>0</v>
      </c>
    </row>
    <row r="119" spans="1:9" x14ac:dyDescent="0.3">
      <c r="A119" s="6" t="s">
        <v>127</v>
      </c>
      <c r="B119" s="11">
        <v>2700</v>
      </c>
      <c r="C119" s="11">
        <v>66900</v>
      </c>
      <c r="D119" s="9">
        <f t="shared" si="8"/>
        <v>4.0358744394618833E-2</v>
      </c>
      <c r="E119" s="11">
        <v>610.28</v>
      </c>
      <c r="F119" s="11">
        <v>648.42999999999995</v>
      </c>
      <c r="G119" s="11">
        <v>638.92999999999995</v>
      </c>
      <c r="H119" s="8">
        <f t="shared" si="9"/>
        <v>0</v>
      </c>
      <c r="I119" s="8">
        <f t="shared" si="7"/>
        <v>4</v>
      </c>
    </row>
    <row r="120" spans="1:9" x14ac:dyDescent="0.3">
      <c r="A120" s="6" t="s">
        <v>128</v>
      </c>
      <c r="B120" s="11">
        <v>15000</v>
      </c>
      <c r="C120" s="11">
        <v>555000</v>
      </c>
      <c r="D120" s="9">
        <f t="shared" si="8"/>
        <v>2.7027027027027029E-2</v>
      </c>
      <c r="E120" s="11">
        <v>588.33000000000004</v>
      </c>
      <c r="F120" s="11">
        <v>588.33000000000004</v>
      </c>
      <c r="G120" s="11">
        <v>735.42</v>
      </c>
      <c r="H120" s="8">
        <f t="shared" si="9"/>
        <v>0</v>
      </c>
      <c r="I120" s="8">
        <f t="shared" si="7"/>
        <v>3</v>
      </c>
    </row>
    <row r="121" spans="1:9" x14ac:dyDescent="0.3">
      <c r="A121" s="6" t="s">
        <v>129</v>
      </c>
      <c r="B121" s="11">
        <v>1000</v>
      </c>
      <c r="C121" s="11">
        <v>113900</v>
      </c>
      <c r="D121" s="9">
        <f t="shared" si="8"/>
        <v>8.7796312554872698E-3</v>
      </c>
      <c r="E121" s="11">
        <v>1189.67</v>
      </c>
      <c r="F121" s="11">
        <v>1476.18</v>
      </c>
      <c r="G121" s="11">
        <v>843.34</v>
      </c>
      <c r="H121" s="8">
        <f t="shared" si="9"/>
        <v>0</v>
      </c>
      <c r="I121" s="8">
        <f t="shared" si="7"/>
        <v>2</v>
      </c>
    </row>
    <row r="122" spans="1:9" x14ac:dyDescent="0.3">
      <c r="A122" s="6" t="s">
        <v>130</v>
      </c>
      <c r="B122" s="11">
        <v>0</v>
      </c>
      <c r="C122" s="11">
        <v>4885</v>
      </c>
      <c r="D122" s="9">
        <f t="shared" si="8"/>
        <v>0</v>
      </c>
      <c r="E122" s="11">
        <v>0</v>
      </c>
      <c r="F122" s="11">
        <v>1127.0899999999999</v>
      </c>
      <c r="G122" s="11">
        <v>0</v>
      </c>
      <c r="H122" s="8">
        <f t="shared" si="9"/>
        <v>0</v>
      </c>
      <c r="I122" s="8">
        <f t="shared" si="7"/>
        <v>0</v>
      </c>
    </row>
    <row r="123" spans="1:9" x14ac:dyDescent="0.3">
      <c r="A123" s="6" t="s">
        <v>131</v>
      </c>
      <c r="B123" s="11">
        <v>1347</v>
      </c>
      <c r="C123" s="11">
        <v>188600</v>
      </c>
      <c r="D123" s="9">
        <f t="shared" si="8"/>
        <v>7.1420996818663835E-3</v>
      </c>
      <c r="E123" s="11">
        <v>107.66</v>
      </c>
      <c r="F123" s="11">
        <v>195.92</v>
      </c>
      <c r="G123" s="11">
        <v>380.05</v>
      </c>
      <c r="H123" s="8">
        <f t="shared" si="9"/>
        <v>1</v>
      </c>
      <c r="I123" s="8">
        <f t="shared" si="7"/>
        <v>2</v>
      </c>
    </row>
    <row r="124" spans="1:9" x14ac:dyDescent="0.3">
      <c r="A124" s="6" t="s">
        <v>132</v>
      </c>
      <c r="B124" s="11">
        <v>3300</v>
      </c>
      <c r="C124" s="11">
        <v>210500</v>
      </c>
      <c r="D124" s="9">
        <f t="shared" si="8"/>
        <v>1.5676959619952493E-2</v>
      </c>
      <c r="E124" s="11">
        <v>0</v>
      </c>
      <c r="F124" s="11">
        <v>56.73</v>
      </c>
      <c r="G124" s="11">
        <v>260.95</v>
      </c>
      <c r="H124" s="8">
        <f t="shared" si="9"/>
        <v>1</v>
      </c>
      <c r="I124" s="8">
        <f t="shared" si="7"/>
        <v>3</v>
      </c>
    </row>
    <row r="125" spans="1:9" x14ac:dyDescent="0.3">
      <c r="A125" s="6" t="s">
        <v>207</v>
      </c>
      <c r="B125" s="11">
        <v>300</v>
      </c>
      <c r="C125" s="11">
        <v>37700</v>
      </c>
      <c r="D125" s="9">
        <f t="shared" si="8"/>
        <v>7.9575596816976128E-3</v>
      </c>
      <c r="E125" s="11">
        <v>133.33000000000001</v>
      </c>
      <c r="F125" s="11">
        <v>135.53</v>
      </c>
      <c r="G125" s="11">
        <v>203.14</v>
      </c>
      <c r="H125" s="8">
        <f t="shared" si="9"/>
        <v>1</v>
      </c>
      <c r="I125" s="8">
        <f t="shared" si="7"/>
        <v>2</v>
      </c>
    </row>
    <row r="126" spans="1:9" x14ac:dyDescent="0.3">
      <c r="A126" s="6" t="s">
        <v>133</v>
      </c>
      <c r="B126" s="11">
        <v>2100</v>
      </c>
      <c r="C126" s="11">
        <v>82900</v>
      </c>
      <c r="D126" s="9">
        <f t="shared" si="8"/>
        <v>2.5331724969843185E-2</v>
      </c>
      <c r="E126" s="11">
        <v>671.15</v>
      </c>
      <c r="F126" s="11">
        <v>570.26</v>
      </c>
      <c r="G126" s="11">
        <v>598.5</v>
      </c>
      <c r="H126" s="8">
        <f t="shared" si="9"/>
        <v>0</v>
      </c>
      <c r="I126" s="8">
        <f t="shared" si="7"/>
        <v>3</v>
      </c>
    </row>
    <row r="127" spans="1:9" x14ac:dyDescent="0.3">
      <c r="A127" s="6" t="s">
        <v>208</v>
      </c>
      <c r="B127" s="11">
        <v>1140</v>
      </c>
      <c r="C127" s="11">
        <v>26700</v>
      </c>
      <c r="D127" s="9">
        <f t="shared" si="8"/>
        <v>4.2696629213483148E-2</v>
      </c>
      <c r="E127" s="11">
        <v>720.31</v>
      </c>
      <c r="F127" s="11">
        <v>769.65</v>
      </c>
      <c r="G127" s="11">
        <v>878.19</v>
      </c>
      <c r="H127" s="8">
        <f t="shared" si="9"/>
        <v>1</v>
      </c>
      <c r="I127" s="8">
        <f t="shared" si="7"/>
        <v>5</v>
      </c>
    </row>
    <row r="128" spans="1:9" x14ac:dyDescent="0.3">
      <c r="A128" s="6" t="s">
        <v>134</v>
      </c>
      <c r="B128" s="11">
        <v>3200</v>
      </c>
      <c r="C128" s="11">
        <v>86100</v>
      </c>
      <c r="D128" s="9">
        <f t="shared" si="8"/>
        <v>3.7166085946573751E-2</v>
      </c>
      <c r="E128" s="11">
        <v>845.26</v>
      </c>
      <c r="F128" s="11">
        <v>912.88</v>
      </c>
      <c r="G128" s="11">
        <v>912.88</v>
      </c>
      <c r="H128" s="8">
        <f t="shared" si="9"/>
        <v>0</v>
      </c>
      <c r="I128" s="8">
        <f t="shared" si="7"/>
        <v>4</v>
      </c>
    </row>
    <row r="129" spans="1:9" x14ac:dyDescent="0.3">
      <c r="A129" s="6" t="s">
        <v>135</v>
      </c>
      <c r="B129" s="11">
        <v>6000</v>
      </c>
      <c r="C129" s="11">
        <v>377500</v>
      </c>
      <c r="D129" s="9">
        <f t="shared" si="8"/>
        <v>1.5894039735099338E-2</v>
      </c>
      <c r="E129" s="11">
        <v>289.13</v>
      </c>
      <c r="F129" s="11">
        <v>289.13</v>
      </c>
      <c r="G129" s="11">
        <v>289.13</v>
      </c>
      <c r="H129" s="8">
        <f t="shared" si="9"/>
        <v>0</v>
      </c>
      <c r="I129" s="8">
        <f t="shared" si="7"/>
        <v>2</v>
      </c>
    </row>
    <row r="130" spans="1:9" x14ac:dyDescent="0.3">
      <c r="A130" s="6" t="s">
        <v>136</v>
      </c>
      <c r="B130" s="11">
        <v>1700</v>
      </c>
      <c r="C130" s="11">
        <v>99200</v>
      </c>
      <c r="D130" s="9">
        <f t="shared" si="8"/>
        <v>1.7137096774193547E-2</v>
      </c>
      <c r="E130" s="11">
        <v>273.14</v>
      </c>
      <c r="F130" s="11">
        <v>327.77</v>
      </c>
      <c r="G130" s="11">
        <v>710.17</v>
      </c>
      <c r="H130" s="8">
        <f t="shared" si="9"/>
        <v>1</v>
      </c>
      <c r="I130" s="8">
        <f t="shared" si="7"/>
        <v>3</v>
      </c>
    </row>
    <row r="131" spans="1:9" x14ac:dyDescent="0.3">
      <c r="A131" s="6" t="s">
        <v>137</v>
      </c>
      <c r="B131" s="11">
        <v>0</v>
      </c>
      <c r="C131" s="11">
        <v>88000</v>
      </c>
      <c r="D131" s="9">
        <f t="shared" si="8"/>
        <v>0</v>
      </c>
      <c r="E131" s="11">
        <v>0</v>
      </c>
      <c r="F131" s="11">
        <v>0</v>
      </c>
      <c r="G131" s="11">
        <v>0</v>
      </c>
      <c r="H131" s="8">
        <f t="shared" si="9"/>
        <v>0</v>
      </c>
      <c r="I131" s="8">
        <f t="shared" si="7"/>
        <v>0</v>
      </c>
    </row>
    <row r="132" spans="1:9" x14ac:dyDescent="0.3">
      <c r="A132" s="6" t="s">
        <v>138</v>
      </c>
      <c r="B132" s="11">
        <v>2500</v>
      </c>
      <c r="C132" s="11">
        <v>106700</v>
      </c>
      <c r="D132" s="9">
        <f t="shared" si="8"/>
        <v>2.3430178069353328E-2</v>
      </c>
      <c r="E132" s="11">
        <v>535.77</v>
      </c>
      <c r="F132" s="11">
        <v>535.77</v>
      </c>
      <c r="G132" s="11">
        <v>535.77</v>
      </c>
      <c r="H132" s="8">
        <f t="shared" si="9"/>
        <v>0</v>
      </c>
      <c r="I132" s="8">
        <f t="shared" si="7"/>
        <v>3</v>
      </c>
    </row>
    <row r="133" spans="1:9" x14ac:dyDescent="0.3">
      <c r="A133" s="6" t="s">
        <v>209</v>
      </c>
      <c r="B133" s="11">
        <v>400</v>
      </c>
      <c r="C133" s="11">
        <v>27850</v>
      </c>
      <c r="D133" s="9">
        <f t="shared" si="8"/>
        <v>1.4362657091561939E-2</v>
      </c>
      <c r="E133" s="11">
        <v>217.03</v>
      </c>
      <c r="F133" s="11">
        <v>250.1</v>
      </c>
      <c r="G133" s="11">
        <v>320.38</v>
      </c>
      <c r="H133" s="8">
        <f t="shared" si="9"/>
        <v>1</v>
      </c>
      <c r="I133" s="8">
        <f t="shared" si="7"/>
        <v>3</v>
      </c>
    </row>
    <row r="134" spans="1:9" x14ac:dyDescent="0.3">
      <c r="A134" s="6" t="s">
        <v>139</v>
      </c>
      <c r="B134" s="11">
        <v>0</v>
      </c>
      <c r="C134" s="11">
        <v>30400</v>
      </c>
      <c r="D134" s="9">
        <f t="shared" si="8"/>
        <v>0</v>
      </c>
      <c r="E134" s="11">
        <v>1540.84</v>
      </c>
      <c r="F134" s="11">
        <v>1617.69</v>
      </c>
      <c r="G134" s="11">
        <v>0</v>
      </c>
      <c r="H134" s="8">
        <f t="shared" si="9"/>
        <v>0</v>
      </c>
      <c r="I134" s="8">
        <f t="shared" si="7"/>
        <v>0</v>
      </c>
    </row>
    <row r="135" spans="1:9" x14ac:dyDescent="0.3">
      <c r="A135" s="6" t="s">
        <v>140</v>
      </c>
      <c r="B135" s="11">
        <v>1230</v>
      </c>
      <c r="C135" s="11">
        <v>20050</v>
      </c>
      <c r="D135" s="9">
        <f t="shared" si="8"/>
        <v>6.1346633416458851E-2</v>
      </c>
      <c r="E135" s="11">
        <v>1164.71</v>
      </c>
      <c r="F135" s="11">
        <v>1124.19</v>
      </c>
      <c r="G135" s="11">
        <v>1245.73</v>
      </c>
      <c r="H135" s="8">
        <f t="shared" si="9"/>
        <v>0</v>
      </c>
      <c r="I135" s="8">
        <f t="shared" si="7"/>
        <v>4</v>
      </c>
    </row>
    <row r="136" spans="1:9" x14ac:dyDescent="0.3">
      <c r="A136" s="6" t="s">
        <v>141</v>
      </c>
      <c r="B136" s="11">
        <v>4000</v>
      </c>
      <c r="C136" s="11">
        <v>135300</v>
      </c>
      <c r="D136" s="9">
        <f t="shared" si="8"/>
        <v>2.9563932002956393E-2</v>
      </c>
      <c r="E136" s="11">
        <v>932.93</v>
      </c>
      <c r="F136" s="11">
        <v>1074.28</v>
      </c>
      <c r="G136" s="11">
        <v>1074.28</v>
      </c>
      <c r="H136" s="8">
        <f t="shared" si="9"/>
        <v>0</v>
      </c>
      <c r="I136" s="8">
        <f t="shared" si="7"/>
        <v>3</v>
      </c>
    </row>
    <row r="137" spans="1:9" x14ac:dyDescent="0.3">
      <c r="A137" s="6" t="s">
        <v>142</v>
      </c>
      <c r="B137" s="11">
        <v>864</v>
      </c>
      <c r="C137" s="11">
        <v>88700</v>
      </c>
      <c r="D137" s="9">
        <f t="shared" ref="D137:D168" si="10">IFERROR(B137/C137,NA())</f>
        <v>9.7406989853438559E-3</v>
      </c>
      <c r="E137" s="11">
        <v>114.41</v>
      </c>
      <c r="F137" s="11">
        <v>137.29</v>
      </c>
      <c r="G137" s="11">
        <v>169.96</v>
      </c>
      <c r="H137" s="8">
        <f t="shared" ref="H137:H168" si="11">IF(AND(E137&lt;F137,F137&lt;G137),1,0)</f>
        <v>1</v>
      </c>
      <c r="I137" s="8">
        <f t="shared" si="7"/>
        <v>3</v>
      </c>
    </row>
    <row r="138" spans="1:9" x14ac:dyDescent="0.3">
      <c r="A138" s="6" t="s">
        <v>143</v>
      </c>
      <c r="B138" s="11">
        <v>1000</v>
      </c>
      <c r="C138" s="11">
        <v>71600</v>
      </c>
      <c r="D138" s="9">
        <f t="shared" si="10"/>
        <v>1.3966480446927373E-2</v>
      </c>
      <c r="E138" s="11">
        <v>207.15</v>
      </c>
      <c r="F138" s="11">
        <v>207.15</v>
      </c>
      <c r="G138" s="11">
        <v>414.39</v>
      </c>
      <c r="H138" s="8">
        <f t="shared" si="11"/>
        <v>0</v>
      </c>
      <c r="I138" s="8">
        <f t="shared" ref="I138:I201" si="12">IFERROR(MIN(4,INT((_xlfn.RANK.AVG(D138,$D$9:$D$207,1)-1)*5/COUNT($D$9:$D$207)))+H138,NA())</f>
        <v>2</v>
      </c>
    </row>
    <row r="139" spans="1:9" x14ac:dyDescent="0.3">
      <c r="A139" s="6" t="s">
        <v>144</v>
      </c>
      <c r="B139" s="11">
        <v>1980</v>
      </c>
      <c r="C139" s="11">
        <v>40600</v>
      </c>
      <c r="D139" s="9">
        <f t="shared" si="10"/>
        <v>4.8768472906403938E-2</v>
      </c>
      <c r="E139" s="11">
        <v>949.51</v>
      </c>
      <c r="F139" s="11">
        <v>655.04</v>
      </c>
      <c r="G139" s="11">
        <v>694.59</v>
      </c>
      <c r="H139" s="8">
        <f t="shared" si="11"/>
        <v>0</v>
      </c>
      <c r="I139" s="8">
        <f t="shared" si="12"/>
        <v>4</v>
      </c>
    </row>
    <row r="140" spans="1:9" x14ac:dyDescent="0.3">
      <c r="A140" s="6" t="s">
        <v>145</v>
      </c>
      <c r="B140" s="11">
        <v>0</v>
      </c>
      <c r="C140" s="11">
        <v>4230</v>
      </c>
      <c r="D140" s="9">
        <f t="shared" si="10"/>
        <v>0</v>
      </c>
      <c r="E140" s="11">
        <v>1921.21</v>
      </c>
      <c r="F140" s="11">
        <v>1686.39</v>
      </c>
      <c r="G140" s="11">
        <v>0</v>
      </c>
      <c r="H140" s="8">
        <f t="shared" si="11"/>
        <v>0</v>
      </c>
      <c r="I140" s="8">
        <f t="shared" si="12"/>
        <v>0</v>
      </c>
    </row>
    <row r="141" spans="1:9" x14ac:dyDescent="0.3">
      <c r="A141" s="6" t="s">
        <v>146</v>
      </c>
      <c r="B141" s="11">
        <v>1250</v>
      </c>
      <c r="C141" s="11">
        <v>266000</v>
      </c>
      <c r="D141" s="9">
        <f t="shared" si="10"/>
        <v>4.6992481203007516E-3</v>
      </c>
      <c r="E141" s="11">
        <v>4.2699999999999996</v>
      </c>
      <c r="F141" s="11">
        <v>45.36</v>
      </c>
      <c r="G141" s="11">
        <v>127.61</v>
      </c>
      <c r="H141" s="8">
        <f t="shared" si="11"/>
        <v>1</v>
      </c>
      <c r="I141" s="8">
        <f t="shared" si="12"/>
        <v>2</v>
      </c>
    </row>
    <row r="142" spans="1:9" x14ac:dyDescent="0.3">
      <c r="A142" s="6" t="s">
        <v>147</v>
      </c>
      <c r="B142" s="11">
        <v>500</v>
      </c>
      <c r="C142" s="11">
        <v>38050</v>
      </c>
      <c r="D142" s="9">
        <f t="shared" si="10"/>
        <v>1.3140604467805518E-2</v>
      </c>
      <c r="E142" s="11">
        <v>1103.56</v>
      </c>
      <c r="F142" s="11">
        <v>0</v>
      </c>
      <c r="G142" s="11">
        <v>254.67</v>
      </c>
      <c r="H142" s="8">
        <f t="shared" si="11"/>
        <v>0</v>
      </c>
      <c r="I142" s="8">
        <f t="shared" si="12"/>
        <v>2</v>
      </c>
    </row>
    <row r="143" spans="1:9" x14ac:dyDescent="0.3">
      <c r="A143" s="6" t="s">
        <v>148</v>
      </c>
      <c r="B143" s="11">
        <v>0</v>
      </c>
      <c r="C143" s="11">
        <v>65500</v>
      </c>
      <c r="D143" s="9">
        <f t="shared" si="10"/>
        <v>0</v>
      </c>
      <c r="E143" s="11">
        <v>76.08</v>
      </c>
      <c r="F143" s="11">
        <v>76.08</v>
      </c>
      <c r="G143" s="11">
        <v>0</v>
      </c>
      <c r="H143" s="8">
        <f t="shared" si="11"/>
        <v>0</v>
      </c>
      <c r="I143" s="8">
        <f t="shared" si="12"/>
        <v>0</v>
      </c>
    </row>
    <row r="144" spans="1:9" x14ac:dyDescent="0.3">
      <c r="A144" s="6" t="s">
        <v>149</v>
      </c>
      <c r="B144" s="11">
        <v>4100</v>
      </c>
      <c r="C144" s="11">
        <v>132000</v>
      </c>
      <c r="D144" s="9">
        <f t="shared" si="10"/>
        <v>3.1060606060606059E-2</v>
      </c>
      <c r="E144" s="11">
        <v>708.28</v>
      </c>
      <c r="F144" s="11">
        <v>708.28</v>
      </c>
      <c r="G144" s="11">
        <v>708.28</v>
      </c>
      <c r="H144" s="8">
        <f t="shared" si="11"/>
        <v>0</v>
      </c>
      <c r="I144" s="8">
        <f t="shared" si="12"/>
        <v>3</v>
      </c>
    </row>
    <row r="145" spans="1:9" x14ac:dyDescent="0.3">
      <c r="A145" s="6" t="s">
        <v>150</v>
      </c>
      <c r="B145" s="11">
        <v>150</v>
      </c>
      <c r="C145" s="11">
        <v>5540</v>
      </c>
      <c r="D145" s="9">
        <f t="shared" si="10"/>
        <v>2.7075812274368231E-2</v>
      </c>
      <c r="E145" s="11">
        <v>801.85</v>
      </c>
      <c r="F145" s="11">
        <v>454.38</v>
      </c>
      <c r="G145" s="11">
        <v>641.48</v>
      </c>
      <c r="H145" s="8">
        <f t="shared" si="11"/>
        <v>0</v>
      </c>
      <c r="I145" s="8">
        <f t="shared" si="12"/>
        <v>3</v>
      </c>
    </row>
    <row r="146" spans="1:9" x14ac:dyDescent="0.3">
      <c r="A146" s="6" t="s">
        <v>151</v>
      </c>
      <c r="B146" s="11">
        <v>800</v>
      </c>
      <c r="C146" s="11">
        <v>101100</v>
      </c>
      <c r="D146" s="9">
        <f t="shared" si="10"/>
        <v>7.91295746785361E-3</v>
      </c>
      <c r="E146" s="11">
        <v>99.73</v>
      </c>
      <c r="F146" s="11">
        <v>99.73</v>
      </c>
      <c r="G146" s="11">
        <v>159.57</v>
      </c>
      <c r="H146" s="8">
        <f t="shared" si="11"/>
        <v>0</v>
      </c>
      <c r="I146" s="8">
        <f t="shared" si="12"/>
        <v>1</v>
      </c>
    </row>
    <row r="147" spans="1:9" x14ac:dyDescent="0.3">
      <c r="A147" s="6" t="s">
        <v>152</v>
      </c>
      <c r="B147" s="11">
        <v>1651</v>
      </c>
      <c r="C147" s="11">
        <v>62200</v>
      </c>
      <c r="D147" s="9">
        <f t="shared" si="10"/>
        <v>2.6543408360128619E-2</v>
      </c>
      <c r="E147" s="11">
        <v>587.25</v>
      </c>
      <c r="F147" s="11">
        <v>971.1</v>
      </c>
      <c r="G147" s="11">
        <v>1111.05</v>
      </c>
      <c r="H147" s="8">
        <f t="shared" si="11"/>
        <v>1</v>
      </c>
      <c r="I147" s="8">
        <f t="shared" si="12"/>
        <v>4</v>
      </c>
    </row>
    <row r="148" spans="1:9" x14ac:dyDescent="0.3">
      <c r="A148" s="6" t="s">
        <v>153</v>
      </c>
      <c r="B148" s="11">
        <v>890</v>
      </c>
      <c r="C148" s="11">
        <v>99000</v>
      </c>
      <c r="D148" s="9">
        <f t="shared" si="10"/>
        <v>8.9898989898989905E-3</v>
      </c>
      <c r="E148" s="11">
        <v>422.82</v>
      </c>
      <c r="F148" s="11">
        <v>201.82</v>
      </c>
      <c r="G148" s="11">
        <v>230.28</v>
      </c>
      <c r="H148" s="8">
        <f t="shared" si="11"/>
        <v>0</v>
      </c>
      <c r="I148" s="8">
        <f t="shared" si="12"/>
        <v>2</v>
      </c>
    </row>
    <row r="149" spans="1:9" x14ac:dyDescent="0.3">
      <c r="A149" s="6" t="s">
        <v>154</v>
      </c>
      <c r="B149" s="11">
        <v>1150</v>
      </c>
      <c r="C149" s="11">
        <v>38550</v>
      </c>
      <c r="D149" s="9">
        <f t="shared" si="10"/>
        <v>2.9831387808041506E-2</v>
      </c>
      <c r="E149" s="11">
        <v>397.81</v>
      </c>
      <c r="F149" s="11">
        <v>396.24</v>
      </c>
      <c r="G149" s="11">
        <v>435.85</v>
      </c>
      <c r="H149" s="8">
        <f t="shared" si="11"/>
        <v>0</v>
      </c>
      <c r="I149" s="8">
        <f t="shared" si="12"/>
        <v>3</v>
      </c>
    </row>
    <row r="150" spans="1:9" x14ac:dyDescent="0.3">
      <c r="A150" s="6" t="s">
        <v>155</v>
      </c>
      <c r="B150" s="11">
        <v>700</v>
      </c>
      <c r="C150" s="11">
        <v>19100</v>
      </c>
      <c r="D150" s="9">
        <f t="shared" si="10"/>
        <v>3.6649214659685861E-2</v>
      </c>
      <c r="E150" s="11">
        <v>1099.45</v>
      </c>
      <c r="F150" s="11">
        <v>915.16</v>
      </c>
      <c r="G150" s="11">
        <v>831.96</v>
      </c>
      <c r="H150" s="8">
        <f t="shared" si="11"/>
        <v>0</v>
      </c>
      <c r="I150" s="8">
        <f t="shared" si="12"/>
        <v>4</v>
      </c>
    </row>
    <row r="151" spans="1:9" x14ac:dyDescent="0.3">
      <c r="A151" s="6" t="s">
        <v>156</v>
      </c>
      <c r="B151" s="11">
        <v>600</v>
      </c>
      <c r="C151" s="11">
        <v>148300</v>
      </c>
      <c r="D151" s="9">
        <f t="shared" si="10"/>
        <v>4.045853000674309E-3</v>
      </c>
      <c r="E151" s="11">
        <v>66.42</v>
      </c>
      <c r="F151" s="11">
        <v>69.040000000000006</v>
      </c>
      <c r="G151" s="11">
        <v>69.040000000000006</v>
      </c>
      <c r="H151" s="8">
        <f t="shared" si="11"/>
        <v>0</v>
      </c>
      <c r="I151" s="8">
        <f t="shared" si="12"/>
        <v>1</v>
      </c>
    </row>
    <row r="152" spans="1:9" x14ac:dyDescent="0.3">
      <c r="A152" s="6" t="s">
        <v>157</v>
      </c>
      <c r="B152" s="11">
        <v>0</v>
      </c>
      <c r="C152" s="11">
        <v>35000</v>
      </c>
      <c r="D152" s="9">
        <f t="shared" si="10"/>
        <v>0</v>
      </c>
      <c r="E152" s="11">
        <v>0</v>
      </c>
      <c r="F152" s="11">
        <v>0</v>
      </c>
      <c r="G152" s="11">
        <v>0</v>
      </c>
      <c r="H152" s="8">
        <f t="shared" si="11"/>
        <v>0</v>
      </c>
      <c r="I152" s="8">
        <f t="shared" si="12"/>
        <v>0</v>
      </c>
    </row>
    <row r="153" spans="1:9" x14ac:dyDescent="0.3">
      <c r="A153" s="6" t="s">
        <v>158</v>
      </c>
      <c r="B153" s="11">
        <v>0</v>
      </c>
      <c r="C153" s="11">
        <v>195100</v>
      </c>
      <c r="D153" s="9">
        <f t="shared" si="10"/>
        <v>0</v>
      </c>
      <c r="E153" s="11">
        <v>166.4</v>
      </c>
      <c r="F153" s="11">
        <v>0</v>
      </c>
      <c r="G153" s="11">
        <v>0</v>
      </c>
      <c r="H153" s="8">
        <f t="shared" si="11"/>
        <v>0</v>
      </c>
      <c r="I153" s="8">
        <f t="shared" si="12"/>
        <v>0</v>
      </c>
    </row>
    <row r="154" spans="1:9" x14ac:dyDescent="0.3">
      <c r="A154" s="6" t="s">
        <v>159</v>
      </c>
      <c r="B154" s="11">
        <v>2600</v>
      </c>
      <c r="C154" s="11">
        <v>285000</v>
      </c>
      <c r="D154" s="9">
        <f t="shared" si="10"/>
        <v>9.1228070175438589E-3</v>
      </c>
      <c r="E154" s="11">
        <v>228.44</v>
      </c>
      <c r="F154" s="11">
        <v>228.44</v>
      </c>
      <c r="G154" s="11">
        <v>232.37</v>
      </c>
      <c r="H154" s="8">
        <f t="shared" si="11"/>
        <v>0</v>
      </c>
      <c r="I154" s="8">
        <f t="shared" si="12"/>
        <v>2</v>
      </c>
    </row>
    <row r="155" spans="1:9" x14ac:dyDescent="0.3">
      <c r="A155" s="6" t="s">
        <v>160</v>
      </c>
      <c r="B155" s="11">
        <v>1100</v>
      </c>
      <c r="C155" s="11">
        <v>24950</v>
      </c>
      <c r="D155" s="9">
        <f t="shared" si="10"/>
        <v>4.4088176352705413E-2</v>
      </c>
      <c r="E155" s="11">
        <v>617.07000000000005</v>
      </c>
      <c r="F155" s="11">
        <v>663.03</v>
      </c>
      <c r="G155" s="11">
        <v>947.18</v>
      </c>
      <c r="H155" s="8">
        <f t="shared" si="11"/>
        <v>1</v>
      </c>
      <c r="I155" s="8">
        <f t="shared" si="12"/>
        <v>5</v>
      </c>
    </row>
    <row r="156" spans="1:9" x14ac:dyDescent="0.3">
      <c r="A156" s="6" t="s">
        <v>210</v>
      </c>
      <c r="B156" s="11">
        <v>6576</v>
      </c>
      <c r="C156" s="11">
        <v>208000</v>
      </c>
      <c r="D156" s="9">
        <f t="shared" si="10"/>
        <v>3.1615384615384615E-2</v>
      </c>
      <c r="E156" s="11">
        <v>353.95</v>
      </c>
      <c r="F156" s="11">
        <v>460.71</v>
      </c>
      <c r="G156" s="11">
        <v>620.86</v>
      </c>
      <c r="H156" s="8">
        <f t="shared" si="11"/>
        <v>1</v>
      </c>
      <c r="I156" s="8">
        <f t="shared" si="12"/>
        <v>5</v>
      </c>
    </row>
    <row r="157" spans="1:9" x14ac:dyDescent="0.3">
      <c r="A157" s="6" t="s">
        <v>161</v>
      </c>
      <c r="B157" s="11">
        <v>6500</v>
      </c>
      <c r="C157" s="11">
        <v>407000</v>
      </c>
      <c r="D157" s="9">
        <f t="shared" si="10"/>
        <v>1.5970515970515971E-2</v>
      </c>
      <c r="E157" s="11">
        <v>368.87</v>
      </c>
      <c r="F157" s="11">
        <v>377.46</v>
      </c>
      <c r="G157" s="11">
        <v>394.55</v>
      </c>
      <c r="H157" s="8">
        <f t="shared" si="11"/>
        <v>1</v>
      </c>
      <c r="I157" s="8">
        <f t="shared" si="12"/>
        <v>3</v>
      </c>
    </row>
    <row r="158" spans="1:9" x14ac:dyDescent="0.3">
      <c r="A158" s="6" t="s">
        <v>162</v>
      </c>
      <c r="B158" s="11">
        <v>0</v>
      </c>
      <c r="C158" s="11">
        <v>26400</v>
      </c>
      <c r="D158" s="9">
        <f t="shared" si="10"/>
        <v>0</v>
      </c>
      <c r="E158" s="11">
        <v>0</v>
      </c>
      <c r="F158" s="11">
        <v>0</v>
      </c>
      <c r="G158" s="11">
        <v>0</v>
      </c>
      <c r="H158" s="8">
        <f t="shared" si="11"/>
        <v>0</v>
      </c>
      <c r="I158" s="8">
        <f t="shared" si="12"/>
        <v>0</v>
      </c>
    </row>
    <row r="159" spans="1:9" x14ac:dyDescent="0.3">
      <c r="A159" s="6" t="s">
        <v>163</v>
      </c>
      <c r="B159" s="11">
        <v>2150</v>
      </c>
      <c r="C159" s="11">
        <v>108900</v>
      </c>
      <c r="D159" s="9">
        <f t="shared" si="10"/>
        <v>1.9742883379247015E-2</v>
      </c>
      <c r="E159" s="11">
        <v>284.12</v>
      </c>
      <c r="F159" s="11">
        <v>284.12</v>
      </c>
      <c r="G159" s="11">
        <v>305.97000000000003</v>
      </c>
      <c r="H159" s="8">
        <f t="shared" si="11"/>
        <v>0</v>
      </c>
      <c r="I159" s="8">
        <f t="shared" si="12"/>
        <v>3</v>
      </c>
    </row>
    <row r="160" spans="1:9" x14ac:dyDescent="0.3">
      <c r="A160" s="6" t="s">
        <v>164</v>
      </c>
      <c r="B160" s="11">
        <v>750</v>
      </c>
      <c r="C160" s="11">
        <v>57100</v>
      </c>
      <c r="D160" s="9">
        <f t="shared" si="10"/>
        <v>1.3134851138353765E-2</v>
      </c>
      <c r="E160" s="11">
        <v>234.52</v>
      </c>
      <c r="F160" s="11">
        <v>281.74</v>
      </c>
      <c r="G160" s="11">
        <v>328.7</v>
      </c>
      <c r="H160" s="8">
        <f t="shared" si="11"/>
        <v>1</v>
      </c>
      <c r="I160" s="8">
        <f t="shared" si="12"/>
        <v>3</v>
      </c>
    </row>
    <row r="161" spans="1:9" x14ac:dyDescent="0.3">
      <c r="A161" s="6" t="s">
        <v>211</v>
      </c>
      <c r="B161" s="11">
        <v>9000</v>
      </c>
      <c r="C161" s="11">
        <v>365500</v>
      </c>
      <c r="D161" s="9">
        <f t="shared" si="10"/>
        <v>2.4623803009575923E-2</v>
      </c>
      <c r="E161" s="11">
        <v>309.54000000000002</v>
      </c>
      <c r="F161" s="11">
        <v>309.54000000000002</v>
      </c>
      <c r="G161" s="11">
        <v>309.54000000000002</v>
      </c>
      <c r="H161" s="8">
        <f t="shared" si="11"/>
        <v>0</v>
      </c>
      <c r="I161" s="8">
        <f t="shared" si="12"/>
        <v>3</v>
      </c>
    </row>
    <row r="162" spans="1:9" x14ac:dyDescent="0.3">
      <c r="A162" s="6" t="s">
        <v>165</v>
      </c>
      <c r="B162" s="11">
        <v>1500</v>
      </c>
      <c r="C162" s="11">
        <v>137100</v>
      </c>
      <c r="D162" s="9">
        <f t="shared" si="10"/>
        <v>1.0940919037199124E-2</v>
      </c>
      <c r="E162" s="11">
        <v>199.73</v>
      </c>
      <c r="F162" s="11">
        <v>171.2</v>
      </c>
      <c r="G162" s="11">
        <v>171.2</v>
      </c>
      <c r="H162" s="8">
        <f t="shared" si="11"/>
        <v>0</v>
      </c>
      <c r="I162" s="8">
        <f t="shared" si="12"/>
        <v>2</v>
      </c>
    </row>
    <row r="163" spans="1:9" x14ac:dyDescent="0.3">
      <c r="A163" s="6" t="s">
        <v>212</v>
      </c>
      <c r="B163" s="11">
        <v>200</v>
      </c>
      <c r="C163" s="11">
        <v>22550</v>
      </c>
      <c r="D163" s="9">
        <f t="shared" si="10"/>
        <v>8.869179600886918E-3</v>
      </c>
      <c r="E163" s="11">
        <v>41.58</v>
      </c>
      <c r="F163" s="11">
        <v>40.89</v>
      </c>
      <c r="G163" s="11">
        <v>81.78</v>
      </c>
      <c r="H163" s="8">
        <f t="shared" si="11"/>
        <v>0</v>
      </c>
      <c r="I163" s="8">
        <f t="shared" si="12"/>
        <v>2</v>
      </c>
    </row>
    <row r="164" spans="1:9" x14ac:dyDescent="0.3">
      <c r="A164" s="6" t="s">
        <v>166</v>
      </c>
      <c r="B164" s="11">
        <v>1000</v>
      </c>
      <c r="C164" s="11">
        <v>368000</v>
      </c>
      <c r="D164" s="9">
        <f t="shared" si="10"/>
        <v>2.717391304347826E-3</v>
      </c>
      <c r="E164" s="11">
        <v>588.73</v>
      </c>
      <c r="F164" s="11">
        <v>645.61</v>
      </c>
      <c r="G164" s="11">
        <v>412.98</v>
      </c>
      <c r="H164" s="8">
        <f t="shared" si="11"/>
        <v>0</v>
      </c>
      <c r="I164" s="8">
        <f t="shared" si="12"/>
        <v>1</v>
      </c>
    </row>
    <row r="165" spans="1:9" x14ac:dyDescent="0.3">
      <c r="A165" s="6" t="s">
        <v>167</v>
      </c>
      <c r="B165" s="11">
        <v>2770</v>
      </c>
      <c r="C165" s="11">
        <v>62900</v>
      </c>
      <c r="D165" s="9">
        <f t="shared" si="10"/>
        <v>4.4038155802861682E-2</v>
      </c>
      <c r="E165" s="11">
        <v>276.33</v>
      </c>
      <c r="F165" s="11">
        <v>414.5</v>
      </c>
      <c r="G165" s="11">
        <v>552.66999999999996</v>
      </c>
      <c r="H165" s="8">
        <f t="shared" si="11"/>
        <v>1</v>
      </c>
      <c r="I165" s="8">
        <f t="shared" si="12"/>
        <v>5</v>
      </c>
    </row>
    <row r="166" spans="1:9" x14ac:dyDescent="0.3">
      <c r="A166" s="6" t="s">
        <v>168</v>
      </c>
      <c r="B166" s="11">
        <v>0</v>
      </c>
      <c r="C166" s="11">
        <v>105800</v>
      </c>
      <c r="D166" s="9">
        <f t="shared" si="10"/>
        <v>0</v>
      </c>
      <c r="E166" s="11">
        <v>0</v>
      </c>
      <c r="F166" s="11">
        <v>0</v>
      </c>
      <c r="G166" s="11">
        <v>0</v>
      </c>
      <c r="H166" s="8">
        <f t="shared" si="11"/>
        <v>0</v>
      </c>
      <c r="I166" s="8">
        <f t="shared" si="12"/>
        <v>0</v>
      </c>
    </row>
    <row r="167" spans="1:9" x14ac:dyDescent="0.3">
      <c r="A167" s="6" t="s">
        <v>169</v>
      </c>
      <c r="B167" s="11">
        <v>700</v>
      </c>
      <c r="C167" s="11">
        <v>17110</v>
      </c>
      <c r="D167" s="9">
        <f t="shared" si="10"/>
        <v>4.0911747516072475E-2</v>
      </c>
      <c r="E167" s="11">
        <v>663.5</v>
      </c>
      <c r="F167" s="11">
        <v>663.5</v>
      </c>
      <c r="G167" s="11">
        <v>489.05</v>
      </c>
      <c r="H167" s="8">
        <f t="shared" si="11"/>
        <v>0</v>
      </c>
      <c r="I167" s="8">
        <f t="shared" si="12"/>
        <v>4</v>
      </c>
    </row>
    <row r="168" spans="1:9" x14ac:dyDescent="0.3">
      <c r="A168" s="6" t="s">
        <v>170</v>
      </c>
      <c r="B168" s="11">
        <v>600</v>
      </c>
      <c r="C168" s="11">
        <v>23500</v>
      </c>
      <c r="D168" s="9">
        <f t="shared" si="10"/>
        <v>2.553191489361702E-2</v>
      </c>
      <c r="E168" s="11">
        <v>439.37</v>
      </c>
      <c r="F168" s="11">
        <v>517.19000000000005</v>
      </c>
      <c r="G168" s="11">
        <v>417.83</v>
      </c>
      <c r="H168" s="8">
        <f t="shared" si="11"/>
        <v>0</v>
      </c>
      <c r="I168" s="8">
        <f t="shared" si="12"/>
        <v>3</v>
      </c>
    </row>
    <row r="169" spans="1:9" x14ac:dyDescent="0.3">
      <c r="A169" s="6" t="s">
        <v>213</v>
      </c>
      <c r="B169" s="11">
        <v>200</v>
      </c>
      <c r="C169" s="11">
        <v>8420</v>
      </c>
      <c r="D169" s="9">
        <f t="shared" ref="D169:D200" si="13">IFERROR(B169/C169,NA())</f>
        <v>2.3752969121140142E-2</v>
      </c>
      <c r="E169" s="11">
        <v>1004.53</v>
      </c>
      <c r="F169" s="11">
        <v>0</v>
      </c>
      <c r="G169" s="11">
        <v>241.23</v>
      </c>
      <c r="H169" s="8">
        <f t="shared" ref="H169:H200" si="14">IF(AND(E169&lt;F169,F169&lt;G169),1,0)</f>
        <v>0</v>
      </c>
      <c r="I169" s="8">
        <f t="shared" si="12"/>
        <v>3</v>
      </c>
    </row>
    <row r="170" spans="1:9" x14ac:dyDescent="0.3">
      <c r="A170" s="6" t="s">
        <v>171</v>
      </c>
      <c r="B170" s="11">
        <v>0</v>
      </c>
      <c r="C170" s="11">
        <v>47400</v>
      </c>
      <c r="D170" s="9">
        <f t="shared" si="13"/>
        <v>0</v>
      </c>
      <c r="E170" s="11">
        <v>0</v>
      </c>
      <c r="F170" s="11">
        <v>0</v>
      </c>
      <c r="G170" s="11">
        <v>0</v>
      </c>
      <c r="H170" s="8">
        <f t="shared" si="14"/>
        <v>0</v>
      </c>
      <c r="I170" s="8">
        <f t="shared" si="12"/>
        <v>0</v>
      </c>
    </row>
    <row r="171" spans="1:9" x14ac:dyDescent="0.3">
      <c r="A171" s="6" t="s">
        <v>172</v>
      </c>
      <c r="B171" s="11">
        <v>1100</v>
      </c>
      <c r="C171" s="11">
        <v>25850</v>
      </c>
      <c r="D171" s="9">
        <f t="shared" si="13"/>
        <v>4.2553191489361701E-2</v>
      </c>
      <c r="E171" s="11">
        <v>421.1</v>
      </c>
      <c r="F171" s="11">
        <v>451.17</v>
      </c>
      <c r="G171" s="11">
        <v>481.25</v>
      </c>
      <c r="H171" s="8">
        <f t="shared" si="14"/>
        <v>1</v>
      </c>
      <c r="I171" s="8">
        <f t="shared" si="12"/>
        <v>5</v>
      </c>
    </row>
    <row r="172" spans="1:9" x14ac:dyDescent="0.3">
      <c r="A172" s="6" t="s">
        <v>214</v>
      </c>
      <c r="B172" s="11">
        <v>1000</v>
      </c>
      <c r="C172" s="11">
        <v>48050</v>
      </c>
      <c r="D172" s="9">
        <f t="shared" si="13"/>
        <v>2.081165452653486E-2</v>
      </c>
      <c r="E172" s="11">
        <v>215.45</v>
      </c>
      <c r="F172" s="11">
        <v>258.54000000000002</v>
      </c>
      <c r="G172" s="11">
        <v>520.30999999999995</v>
      </c>
      <c r="H172" s="8">
        <f t="shared" si="14"/>
        <v>1</v>
      </c>
      <c r="I172" s="8">
        <f t="shared" si="12"/>
        <v>4</v>
      </c>
    </row>
    <row r="173" spans="1:9" x14ac:dyDescent="0.3">
      <c r="A173" s="6" t="s">
        <v>173</v>
      </c>
      <c r="B173" s="11">
        <v>1000</v>
      </c>
      <c r="C173" s="11">
        <v>17450</v>
      </c>
      <c r="D173" s="9">
        <f t="shared" si="13"/>
        <v>5.730659025787966E-2</v>
      </c>
      <c r="E173" s="11">
        <v>401.72</v>
      </c>
      <c r="F173" s="11">
        <v>554.09</v>
      </c>
      <c r="G173" s="11">
        <v>692.62</v>
      </c>
      <c r="H173" s="8">
        <f t="shared" si="14"/>
        <v>1</v>
      </c>
      <c r="I173" s="8">
        <f t="shared" si="12"/>
        <v>5</v>
      </c>
    </row>
    <row r="174" spans="1:9" x14ac:dyDescent="0.3">
      <c r="A174" s="6" t="s">
        <v>174</v>
      </c>
      <c r="B174" s="11">
        <v>0</v>
      </c>
      <c r="C174" s="11">
        <v>5820</v>
      </c>
      <c r="D174" s="9">
        <f t="shared" si="13"/>
        <v>0</v>
      </c>
      <c r="E174" s="11">
        <v>0</v>
      </c>
      <c r="F174" s="11">
        <v>0</v>
      </c>
      <c r="G174" s="11">
        <v>0</v>
      </c>
      <c r="H174" s="8">
        <f t="shared" si="14"/>
        <v>0</v>
      </c>
      <c r="I174" s="8">
        <f t="shared" si="12"/>
        <v>0</v>
      </c>
    </row>
    <row r="175" spans="1:9" x14ac:dyDescent="0.3">
      <c r="A175" s="6" t="s">
        <v>175</v>
      </c>
      <c r="B175" s="11">
        <v>150</v>
      </c>
      <c r="C175" s="11">
        <v>15850</v>
      </c>
      <c r="D175" s="9">
        <f t="shared" si="13"/>
        <v>9.4637223974763408E-3</v>
      </c>
      <c r="E175" s="11">
        <v>0</v>
      </c>
      <c r="F175" s="11">
        <v>86.35</v>
      </c>
      <c r="G175" s="11">
        <v>129.54</v>
      </c>
      <c r="H175" s="8">
        <f t="shared" si="14"/>
        <v>1</v>
      </c>
      <c r="I175" s="8">
        <f t="shared" si="12"/>
        <v>3</v>
      </c>
    </row>
    <row r="176" spans="1:9" x14ac:dyDescent="0.3">
      <c r="A176" s="6" t="s">
        <v>215</v>
      </c>
      <c r="B176" s="11">
        <v>0</v>
      </c>
      <c r="C176" s="11">
        <v>121500</v>
      </c>
      <c r="D176" s="9">
        <f t="shared" si="13"/>
        <v>0</v>
      </c>
      <c r="E176" s="11"/>
      <c r="F176" s="11">
        <v>0</v>
      </c>
      <c r="G176" s="11">
        <v>0</v>
      </c>
      <c r="H176" s="8">
        <f t="shared" si="14"/>
        <v>0</v>
      </c>
      <c r="I176" s="8">
        <f t="shared" si="12"/>
        <v>0</v>
      </c>
    </row>
    <row r="177" spans="1:9" x14ac:dyDescent="0.3">
      <c r="A177" s="6" t="s">
        <v>176</v>
      </c>
      <c r="B177" s="11">
        <v>1200</v>
      </c>
      <c r="C177" s="11">
        <v>82700</v>
      </c>
      <c r="D177" s="9">
        <f t="shared" si="13"/>
        <v>1.4510278113663845E-2</v>
      </c>
      <c r="E177" s="11">
        <v>186.52</v>
      </c>
      <c r="F177" s="11">
        <v>226.49</v>
      </c>
      <c r="G177" s="11">
        <v>293.10000000000002</v>
      </c>
      <c r="H177" s="8">
        <f t="shared" si="14"/>
        <v>1</v>
      </c>
      <c r="I177" s="8">
        <f t="shared" si="12"/>
        <v>3</v>
      </c>
    </row>
    <row r="178" spans="1:9" x14ac:dyDescent="0.3">
      <c r="A178" s="6" t="s">
        <v>177</v>
      </c>
      <c r="B178" s="11">
        <v>500</v>
      </c>
      <c r="C178" s="11">
        <v>85700</v>
      </c>
      <c r="D178" s="9">
        <f t="shared" si="13"/>
        <v>5.8343057176196032E-3</v>
      </c>
      <c r="E178" s="11">
        <v>116.09</v>
      </c>
      <c r="F178" s="11">
        <v>133.31</v>
      </c>
      <c r="G178" s="11">
        <v>138.24</v>
      </c>
      <c r="H178" s="8">
        <f t="shared" si="14"/>
        <v>1</v>
      </c>
      <c r="I178" s="8">
        <f t="shared" si="12"/>
        <v>2</v>
      </c>
    </row>
    <row r="179" spans="1:9" x14ac:dyDescent="0.3">
      <c r="A179" s="6" t="s">
        <v>216</v>
      </c>
      <c r="B179" s="11">
        <v>1750</v>
      </c>
      <c r="C179" s="11">
        <v>1190000</v>
      </c>
      <c r="D179" s="9">
        <f t="shared" si="13"/>
        <v>1.4705882352941176E-3</v>
      </c>
      <c r="E179" s="11">
        <v>14.73</v>
      </c>
      <c r="F179" s="11">
        <v>14.73</v>
      </c>
      <c r="G179" s="11">
        <v>14.73</v>
      </c>
      <c r="H179" s="8">
        <f t="shared" si="14"/>
        <v>0</v>
      </c>
      <c r="I179" s="8">
        <f t="shared" si="12"/>
        <v>0</v>
      </c>
    </row>
    <row r="180" spans="1:9" x14ac:dyDescent="0.3">
      <c r="A180" s="6" t="s">
        <v>178</v>
      </c>
      <c r="B180" s="11">
        <v>3300</v>
      </c>
      <c r="C180" s="11">
        <v>121100</v>
      </c>
      <c r="D180" s="9">
        <f t="shared" si="13"/>
        <v>2.7250206440957887E-2</v>
      </c>
      <c r="E180" s="11">
        <v>203.35</v>
      </c>
      <c r="F180" s="11">
        <v>265.24</v>
      </c>
      <c r="G180" s="11">
        <v>291.76</v>
      </c>
      <c r="H180" s="8">
        <f t="shared" si="14"/>
        <v>1</v>
      </c>
      <c r="I180" s="8">
        <f t="shared" si="12"/>
        <v>4</v>
      </c>
    </row>
    <row r="181" spans="1:9" x14ac:dyDescent="0.3">
      <c r="A181" s="6" t="s">
        <v>179</v>
      </c>
      <c r="B181" s="11">
        <v>10100</v>
      </c>
      <c r="C181" s="11">
        <v>518000</v>
      </c>
      <c r="D181" s="9">
        <f t="shared" si="13"/>
        <v>1.9498069498069499E-2</v>
      </c>
      <c r="E181" s="11">
        <v>431.57</v>
      </c>
      <c r="F181" s="11">
        <v>431.57</v>
      </c>
      <c r="G181" s="11">
        <v>431.57</v>
      </c>
      <c r="H181" s="8">
        <f t="shared" si="14"/>
        <v>0</v>
      </c>
      <c r="I181" s="8">
        <f t="shared" si="12"/>
        <v>3</v>
      </c>
    </row>
    <row r="182" spans="1:9" x14ac:dyDescent="0.3">
      <c r="A182" s="6" t="s">
        <v>180</v>
      </c>
      <c r="B182" s="11">
        <v>3400</v>
      </c>
      <c r="C182" s="11">
        <v>122400</v>
      </c>
      <c r="D182" s="9">
        <f t="shared" si="13"/>
        <v>2.7777777777777776E-2</v>
      </c>
      <c r="E182" s="11">
        <v>331.83</v>
      </c>
      <c r="F182" s="11">
        <v>341.88</v>
      </c>
      <c r="G182" s="11">
        <v>341.88</v>
      </c>
      <c r="H182" s="8">
        <f t="shared" si="14"/>
        <v>0</v>
      </c>
      <c r="I182" s="8">
        <f t="shared" si="12"/>
        <v>3</v>
      </c>
    </row>
    <row r="183" spans="1:9" x14ac:dyDescent="0.3">
      <c r="A183" s="6" t="s">
        <v>181</v>
      </c>
      <c r="B183" s="11">
        <v>320</v>
      </c>
      <c r="C183" s="11">
        <v>49550</v>
      </c>
      <c r="D183" s="9">
        <f t="shared" si="13"/>
        <v>6.4581231079717458E-3</v>
      </c>
      <c r="E183" s="11">
        <v>55.93</v>
      </c>
      <c r="F183" s="11">
        <v>54.14</v>
      </c>
      <c r="G183" s="11">
        <v>63.98</v>
      </c>
      <c r="H183" s="8">
        <f t="shared" si="14"/>
        <v>0</v>
      </c>
      <c r="I183" s="8">
        <f t="shared" si="12"/>
        <v>1</v>
      </c>
    </row>
    <row r="184" spans="1:9" x14ac:dyDescent="0.3">
      <c r="A184" s="6" t="s">
        <v>182</v>
      </c>
      <c r="B184" s="11">
        <v>1200</v>
      </c>
      <c r="C184" s="11">
        <v>61100</v>
      </c>
      <c r="D184" s="9">
        <f t="shared" si="13"/>
        <v>1.9639934533551555E-2</v>
      </c>
      <c r="E184" s="11">
        <v>99.76</v>
      </c>
      <c r="F184" s="11">
        <v>165.26</v>
      </c>
      <c r="G184" s="11">
        <v>237.91</v>
      </c>
      <c r="H184" s="8">
        <f t="shared" si="14"/>
        <v>1</v>
      </c>
      <c r="I184" s="8">
        <f t="shared" si="12"/>
        <v>4</v>
      </c>
    </row>
    <row r="185" spans="1:9" x14ac:dyDescent="0.3">
      <c r="A185" s="6" t="s">
        <v>183</v>
      </c>
      <c r="B185" s="11">
        <v>0</v>
      </c>
      <c r="C185" s="11">
        <v>45200</v>
      </c>
      <c r="D185" s="9">
        <f t="shared" si="13"/>
        <v>0</v>
      </c>
      <c r="E185" s="11">
        <v>131.24</v>
      </c>
      <c r="F185" s="11">
        <v>747.01</v>
      </c>
      <c r="G185" s="11">
        <v>1416.01</v>
      </c>
      <c r="H185" s="8">
        <f t="shared" si="14"/>
        <v>1</v>
      </c>
      <c r="I185" s="8">
        <f t="shared" si="12"/>
        <v>1</v>
      </c>
    </row>
    <row r="186" spans="1:9" x14ac:dyDescent="0.3">
      <c r="A186" s="6" t="s">
        <v>184</v>
      </c>
      <c r="B186" s="11">
        <v>1150</v>
      </c>
      <c r="C186" s="11">
        <v>59400</v>
      </c>
      <c r="D186" s="9">
        <f t="shared" si="13"/>
        <v>1.9360269360269359E-2</v>
      </c>
      <c r="E186" s="11">
        <v>288.75</v>
      </c>
      <c r="F186" s="11">
        <v>125.72</v>
      </c>
      <c r="G186" s="11">
        <v>221.67</v>
      </c>
      <c r="H186" s="8">
        <f t="shared" si="14"/>
        <v>0</v>
      </c>
      <c r="I186" s="8">
        <f t="shared" si="12"/>
        <v>3</v>
      </c>
    </row>
    <row r="187" spans="1:9" x14ac:dyDescent="0.3">
      <c r="A187" s="6" t="s">
        <v>185</v>
      </c>
      <c r="B187" s="11">
        <v>1500</v>
      </c>
      <c r="C187" s="11">
        <v>69400</v>
      </c>
      <c r="D187" s="9">
        <f t="shared" si="13"/>
        <v>2.1613832853025938E-2</v>
      </c>
      <c r="E187" s="11">
        <v>891.45</v>
      </c>
      <c r="F187" s="11">
        <v>509.4</v>
      </c>
      <c r="G187" s="11">
        <v>356.58</v>
      </c>
      <c r="H187" s="8">
        <f t="shared" si="14"/>
        <v>0</v>
      </c>
      <c r="I187" s="8">
        <f t="shared" si="12"/>
        <v>3</v>
      </c>
    </row>
    <row r="188" spans="1:9" x14ac:dyDescent="0.3">
      <c r="A188" s="6" t="s">
        <v>217</v>
      </c>
      <c r="B188" s="11">
        <v>2650</v>
      </c>
      <c r="C188" s="11">
        <v>66000</v>
      </c>
      <c r="D188" s="9">
        <f t="shared" si="13"/>
        <v>4.0151515151515153E-2</v>
      </c>
      <c r="E188" s="11">
        <v>79.67</v>
      </c>
      <c r="F188" s="11">
        <v>91.98</v>
      </c>
      <c r="G188" s="11">
        <v>144.88</v>
      </c>
      <c r="H188" s="8">
        <f t="shared" si="14"/>
        <v>1</v>
      </c>
      <c r="I188" s="8">
        <f t="shared" si="12"/>
        <v>5</v>
      </c>
    </row>
    <row r="189" spans="1:9" x14ac:dyDescent="0.3">
      <c r="A189" s="6" t="s">
        <v>218</v>
      </c>
      <c r="B189" s="11">
        <v>1800</v>
      </c>
      <c r="C189" s="11">
        <v>240000</v>
      </c>
      <c r="D189" s="9">
        <f t="shared" si="13"/>
        <v>7.4999999999999997E-3</v>
      </c>
      <c r="E189" s="11">
        <v>90.91</v>
      </c>
      <c r="F189" s="11">
        <v>80.81</v>
      </c>
      <c r="G189" s="11">
        <v>72.73</v>
      </c>
      <c r="H189" s="8">
        <f t="shared" si="14"/>
        <v>0</v>
      </c>
      <c r="I189" s="8">
        <f t="shared" si="12"/>
        <v>1</v>
      </c>
    </row>
    <row r="190" spans="1:9" x14ac:dyDescent="0.3">
      <c r="A190" s="6" t="s">
        <v>186</v>
      </c>
      <c r="B190" s="11">
        <v>0</v>
      </c>
      <c r="C190" s="11">
        <v>71500</v>
      </c>
      <c r="D190" s="9">
        <f t="shared" si="13"/>
        <v>0</v>
      </c>
      <c r="E190" s="11">
        <v>226.99</v>
      </c>
      <c r="F190" s="11">
        <v>226.99</v>
      </c>
      <c r="G190" s="11">
        <v>226.99</v>
      </c>
      <c r="H190" s="8">
        <f t="shared" si="14"/>
        <v>0</v>
      </c>
      <c r="I190" s="8">
        <f t="shared" si="12"/>
        <v>0</v>
      </c>
    </row>
    <row r="191" spans="1:9" x14ac:dyDescent="0.3">
      <c r="A191" s="6" t="s">
        <v>219</v>
      </c>
      <c r="B191" s="11">
        <v>600</v>
      </c>
      <c r="C191" s="11">
        <v>28100</v>
      </c>
      <c r="D191" s="9">
        <f t="shared" si="13"/>
        <v>2.1352313167259787E-2</v>
      </c>
      <c r="E191" s="11">
        <v>175.66</v>
      </c>
      <c r="F191" s="11">
        <v>175.66</v>
      </c>
      <c r="G191" s="11">
        <v>175.66</v>
      </c>
      <c r="H191" s="8">
        <f t="shared" si="14"/>
        <v>0</v>
      </c>
      <c r="I191" s="8">
        <f t="shared" si="12"/>
        <v>3</v>
      </c>
    </row>
    <row r="192" spans="1:9" x14ac:dyDescent="0.3">
      <c r="A192" s="6" t="s">
        <v>187</v>
      </c>
      <c r="B192" s="11">
        <v>1300</v>
      </c>
      <c r="C192" s="11">
        <v>94100</v>
      </c>
      <c r="D192" s="9">
        <f t="shared" si="13"/>
        <v>1.381509032943677E-2</v>
      </c>
      <c r="E192" s="11">
        <v>395.02</v>
      </c>
      <c r="F192" s="11">
        <v>395.02</v>
      </c>
      <c r="G192" s="11">
        <v>395.02</v>
      </c>
      <c r="H192" s="8">
        <f t="shared" si="14"/>
        <v>0</v>
      </c>
      <c r="I192" s="8">
        <f t="shared" si="12"/>
        <v>2</v>
      </c>
    </row>
    <row r="193" spans="1:9" x14ac:dyDescent="0.3">
      <c r="A193" s="6" t="s">
        <v>188</v>
      </c>
      <c r="B193" s="11">
        <v>414</v>
      </c>
      <c r="C193" s="11">
        <v>12060</v>
      </c>
      <c r="D193" s="9">
        <f t="shared" si="13"/>
        <v>3.4328358208955224E-2</v>
      </c>
      <c r="E193" s="11">
        <v>0</v>
      </c>
      <c r="F193" s="11">
        <v>218.35</v>
      </c>
      <c r="G193" s="11">
        <v>174.43</v>
      </c>
      <c r="H193" s="8">
        <f t="shared" si="14"/>
        <v>0</v>
      </c>
      <c r="I193" s="8">
        <f t="shared" si="12"/>
        <v>4</v>
      </c>
    </row>
    <row r="194" spans="1:9" x14ac:dyDescent="0.3">
      <c r="A194" s="6" t="s">
        <v>189</v>
      </c>
      <c r="B194" s="11">
        <v>6157</v>
      </c>
      <c r="C194" s="11">
        <v>76500</v>
      </c>
      <c r="D194" s="9">
        <f t="shared" si="13"/>
        <v>8.0483660130718948E-2</v>
      </c>
      <c r="E194" s="11">
        <v>0</v>
      </c>
      <c r="F194" s="11">
        <v>0</v>
      </c>
      <c r="G194" s="11">
        <v>449.14</v>
      </c>
      <c r="H194" s="8">
        <f t="shared" si="14"/>
        <v>0</v>
      </c>
      <c r="I194" s="8">
        <f t="shared" si="12"/>
        <v>4</v>
      </c>
    </row>
    <row r="195" spans="1:9" x14ac:dyDescent="0.3">
      <c r="A195" s="6" t="s">
        <v>190</v>
      </c>
      <c r="B195" s="11">
        <v>2500</v>
      </c>
      <c r="C195" s="11">
        <v>269500</v>
      </c>
      <c r="D195" s="9">
        <f t="shared" si="13"/>
        <v>9.2764378478664197E-3</v>
      </c>
      <c r="E195" s="11">
        <v>670.2</v>
      </c>
      <c r="F195" s="11">
        <v>290.42</v>
      </c>
      <c r="G195" s="11">
        <v>290.42</v>
      </c>
      <c r="H195" s="8">
        <f t="shared" si="14"/>
        <v>0</v>
      </c>
      <c r="I195" s="8">
        <f t="shared" si="12"/>
        <v>2</v>
      </c>
    </row>
    <row r="196" spans="1:9" x14ac:dyDescent="0.3">
      <c r="A196" s="6" t="s">
        <v>220</v>
      </c>
      <c r="B196" s="11">
        <v>2400</v>
      </c>
      <c r="C196" s="11">
        <v>151800</v>
      </c>
      <c r="D196" s="9">
        <f t="shared" si="13"/>
        <v>1.5810276679841896E-2</v>
      </c>
      <c r="E196" s="11">
        <v>72.989999999999995</v>
      </c>
      <c r="F196" s="11">
        <v>95.01</v>
      </c>
      <c r="G196" s="11">
        <v>93.2</v>
      </c>
      <c r="H196" s="8">
        <f t="shared" si="14"/>
        <v>0</v>
      </c>
      <c r="I196" s="8">
        <f t="shared" si="12"/>
        <v>2</v>
      </c>
    </row>
    <row r="197" spans="1:9" x14ac:dyDescent="0.3">
      <c r="A197" s="6" t="s">
        <v>191</v>
      </c>
      <c r="B197" s="11">
        <v>1200</v>
      </c>
      <c r="C197" s="11">
        <v>75500</v>
      </c>
      <c r="D197" s="9">
        <f t="shared" si="13"/>
        <v>1.5894039735099338E-2</v>
      </c>
      <c r="E197" s="11">
        <v>385.41</v>
      </c>
      <c r="F197" s="11">
        <v>385.41</v>
      </c>
      <c r="G197" s="11">
        <v>385.41</v>
      </c>
      <c r="H197" s="8">
        <f t="shared" si="14"/>
        <v>0</v>
      </c>
      <c r="I197" s="8">
        <f t="shared" si="12"/>
        <v>2</v>
      </c>
    </row>
    <row r="198" spans="1:9" x14ac:dyDescent="0.3">
      <c r="A198" s="6" t="s">
        <v>221</v>
      </c>
      <c r="B198" s="11">
        <v>5</v>
      </c>
      <c r="C198" s="11">
        <v>65900</v>
      </c>
      <c r="D198" s="9">
        <f t="shared" si="13"/>
        <v>7.5872534142640364E-5</v>
      </c>
      <c r="E198" s="11">
        <v>172.01</v>
      </c>
      <c r="F198" s="11">
        <v>172.01</v>
      </c>
      <c r="G198" s="11">
        <v>0.86</v>
      </c>
      <c r="H198" s="8">
        <f t="shared" si="14"/>
        <v>0</v>
      </c>
      <c r="I198" s="8">
        <f t="shared" si="12"/>
        <v>0</v>
      </c>
    </row>
    <row r="199" spans="1:9" x14ac:dyDescent="0.3">
      <c r="A199" s="6" t="s">
        <v>222</v>
      </c>
      <c r="B199" s="11">
        <v>300</v>
      </c>
      <c r="C199" s="11">
        <v>13960</v>
      </c>
      <c r="D199" s="9">
        <f t="shared" si="13"/>
        <v>2.148997134670487E-2</v>
      </c>
      <c r="E199" s="11">
        <v>136.22</v>
      </c>
      <c r="F199" s="11">
        <v>136.22</v>
      </c>
      <c r="G199" s="11">
        <v>227.02</v>
      </c>
      <c r="H199" s="8">
        <f t="shared" si="14"/>
        <v>0</v>
      </c>
      <c r="I199" s="8">
        <f t="shared" si="12"/>
        <v>3</v>
      </c>
    </row>
    <row r="200" spans="1:9" x14ac:dyDescent="0.3">
      <c r="A200" s="6" t="s">
        <v>223</v>
      </c>
      <c r="B200" s="11">
        <v>250</v>
      </c>
      <c r="C200" s="11">
        <v>25750</v>
      </c>
      <c r="D200" s="9">
        <f t="shared" si="13"/>
        <v>9.7087378640776691E-3</v>
      </c>
      <c r="E200" s="11">
        <v>62</v>
      </c>
      <c r="F200" s="11">
        <v>62</v>
      </c>
      <c r="G200" s="11">
        <v>62</v>
      </c>
      <c r="H200" s="8">
        <f t="shared" si="14"/>
        <v>0</v>
      </c>
      <c r="I200" s="8">
        <f t="shared" si="12"/>
        <v>2</v>
      </c>
    </row>
    <row r="201" spans="1:9" x14ac:dyDescent="0.3">
      <c r="A201" s="6" t="s">
        <v>224</v>
      </c>
      <c r="B201" s="11">
        <v>3200</v>
      </c>
      <c r="C201" s="11">
        <v>122500</v>
      </c>
      <c r="D201" s="9">
        <f t="shared" ref="D201:D207" si="15">IFERROR(B201/C201,NA())</f>
        <v>2.6122448979591838E-2</v>
      </c>
      <c r="E201" s="11">
        <v>115.22</v>
      </c>
      <c r="F201" s="11">
        <v>103.69</v>
      </c>
      <c r="G201" s="11">
        <v>121.84</v>
      </c>
      <c r="H201" s="8">
        <f t="shared" ref="H201:H207" si="16">IF(AND(E201&lt;F201,F201&lt;G201),1,0)</f>
        <v>0</v>
      </c>
      <c r="I201" s="8">
        <f t="shared" si="12"/>
        <v>3</v>
      </c>
    </row>
    <row r="202" spans="1:9" x14ac:dyDescent="0.3">
      <c r="A202" s="6" t="s">
        <v>225</v>
      </c>
      <c r="B202" s="11">
        <v>850</v>
      </c>
      <c r="C202" s="11">
        <v>20700</v>
      </c>
      <c r="D202" s="9">
        <f t="shared" si="15"/>
        <v>4.1062801932367152E-2</v>
      </c>
      <c r="E202" s="11">
        <v>288.27999999999997</v>
      </c>
      <c r="F202" s="11">
        <v>288.27999999999997</v>
      </c>
      <c r="G202" s="11">
        <v>306.29000000000002</v>
      </c>
      <c r="H202" s="8">
        <f t="shared" si="16"/>
        <v>0</v>
      </c>
      <c r="I202" s="8">
        <f t="shared" ref="I202:I207" si="17">IFERROR(MIN(4,INT((_xlfn.RANK.AVG(D202,$D$9:$D$207,1)-1)*5/COUNT($D$9:$D$207)))+H202,NA())</f>
        <v>4</v>
      </c>
    </row>
    <row r="203" spans="1:9" x14ac:dyDescent="0.3">
      <c r="A203" s="6" t="s">
        <v>226</v>
      </c>
      <c r="B203" s="11">
        <v>1000</v>
      </c>
      <c r="C203" s="11">
        <v>18890</v>
      </c>
      <c r="D203" s="9">
        <f t="shared" si="15"/>
        <v>5.293806246691371E-2</v>
      </c>
      <c r="E203" s="11">
        <v>383.71</v>
      </c>
      <c r="F203" s="11">
        <v>383.71</v>
      </c>
      <c r="G203" s="11">
        <v>383.71</v>
      </c>
      <c r="H203" s="8">
        <f t="shared" si="16"/>
        <v>0</v>
      </c>
      <c r="I203" s="8">
        <f t="shared" si="17"/>
        <v>4</v>
      </c>
    </row>
    <row r="204" spans="1:9" x14ac:dyDescent="0.3">
      <c r="A204" s="6" t="s">
        <v>227</v>
      </c>
      <c r="B204" s="11">
        <v>5600</v>
      </c>
      <c r="C204" s="11">
        <v>271000</v>
      </c>
      <c r="D204" s="9">
        <f t="shared" si="15"/>
        <v>2.0664206642066422E-2</v>
      </c>
      <c r="E204" s="11">
        <v>67.209999999999994</v>
      </c>
      <c r="F204" s="11">
        <v>86.19</v>
      </c>
      <c r="G204" s="11">
        <v>89.05</v>
      </c>
      <c r="H204" s="8">
        <f t="shared" si="16"/>
        <v>1</v>
      </c>
      <c r="I204" s="8">
        <f t="shared" si="17"/>
        <v>4</v>
      </c>
    </row>
    <row r="205" spans="1:9" x14ac:dyDescent="0.3">
      <c r="A205" s="6" t="s">
        <v>192</v>
      </c>
      <c r="B205" s="11">
        <v>1300</v>
      </c>
      <c r="C205" s="11">
        <v>181100</v>
      </c>
      <c r="D205" s="9">
        <f t="shared" si="15"/>
        <v>7.1783545002760902E-3</v>
      </c>
      <c r="E205" s="11">
        <v>61.76</v>
      </c>
      <c r="F205" s="11">
        <v>61.76</v>
      </c>
      <c r="G205" s="11">
        <v>61.76</v>
      </c>
      <c r="H205" s="8">
        <f t="shared" si="16"/>
        <v>0</v>
      </c>
      <c r="I205" s="8">
        <f t="shared" si="17"/>
        <v>1</v>
      </c>
    </row>
    <row r="206" spans="1:9" x14ac:dyDescent="0.3">
      <c r="A206" s="6" t="s">
        <v>228</v>
      </c>
      <c r="B206" s="11">
        <v>0</v>
      </c>
      <c r="C206" s="11">
        <v>17750</v>
      </c>
      <c r="D206" s="9">
        <f t="shared" si="15"/>
        <v>0</v>
      </c>
      <c r="E206" s="11">
        <v>0</v>
      </c>
      <c r="F206" s="11">
        <v>0</v>
      </c>
      <c r="G206" s="11">
        <v>0</v>
      </c>
      <c r="H206" s="8">
        <f t="shared" si="16"/>
        <v>0</v>
      </c>
      <c r="I206" s="8">
        <f t="shared" si="17"/>
        <v>0</v>
      </c>
    </row>
    <row r="207" spans="1:9" x14ac:dyDescent="0.3">
      <c r="A207" s="6" t="s">
        <v>229</v>
      </c>
      <c r="B207" s="11">
        <v>0</v>
      </c>
      <c r="C207" s="11">
        <v>13240</v>
      </c>
      <c r="D207" s="9">
        <f t="shared" si="15"/>
        <v>0</v>
      </c>
      <c r="E207" s="11">
        <v>18.86</v>
      </c>
      <c r="F207" s="11">
        <v>0</v>
      </c>
      <c r="G207" s="11">
        <v>0</v>
      </c>
      <c r="H207" s="8">
        <f t="shared" si="16"/>
        <v>0</v>
      </c>
      <c r="I207" s="8">
        <f t="shared" si="17"/>
        <v>0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pane ySplit="4" topLeftCell="A5" activePane="bottomLeft" state="frozen"/>
      <selection pane="bottomLeft" activeCell="C11" sqref="C11"/>
    </sheetView>
  </sheetViews>
  <sheetFormatPr defaultRowHeight="16.5" x14ac:dyDescent="0.3"/>
  <cols>
    <col min="1" max="1" width="14" customWidth="1"/>
    <col min="2" max="2" width="18.125" bestFit="1" customWidth="1"/>
    <col min="3" max="3" width="18.75" bestFit="1" customWidth="1"/>
    <col min="4" max="6" width="16" customWidth="1"/>
  </cols>
  <sheetData>
    <row r="1" spans="1:6" ht="24" x14ac:dyDescent="0.45">
      <c r="A1" s="1" t="s">
        <v>230</v>
      </c>
    </row>
    <row r="2" spans="1:6" x14ac:dyDescent="0.3">
      <c r="A2" t="s">
        <v>1</v>
      </c>
      <c r="B2" s="2">
        <v>46142</v>
      </c>
      <c r="C2" t="s">
        <v>2</v>
      </c>
      <c r="D2">
        <v>299</v>
      </c>
    </row>
    <row r="4" spans="1:6" ht="33" x14ac:dyDescent="0.3">
      <c r="A4" s="3" t="s">
        <v>3</v>
      </c>
      <c r="B4" s="3" t="s">
        <v>4</v>
      </c>
      <c r="C4" s="3" t="s">
        <v>231</v>
      </c>
      <c r="D4" s="3" t="s">
        <v>232</v>
      </c>
      <c r="E4" s="3" t="s">
        <v>8</v>
      </c>
      <c r="F4" s="3" t="s">
        <v>9</v>
      </c>
    </row>
    <row r="5" spans="1:6" x14ac:dyDescent="0.3">
      <c r="A5" t="s">
        <v>11</v>
      </c>
      <c r="B5" t="s">
        <v>12</v>
      </c>
      <c r="C5" t="s">
        <v>233</v>
      </c>
      <c r="D5">
        <v>347901862727.36841</v>
      </c>
      <c r="E5" s="4">
        <f>IFERROR($D$16,NA())</f>
        <v>0</v>
      </c>
      <c r="F5">
        <v>0</v>
      </c>
    </row>
    <row r="6" spans="1:6" x14ac:dyDescent="0.3">
      <c r="A6" t="s">
        <v>14</v>
      </c>
      <c r="B6" t="s">
        <v>15</v>
      </c>
      <c r="C6" t="s">
        <v>233</v>
      </c>
      <c r="D6">
        <v>347901862727.36841</v>
      </c>
      <c r="E6" s="4">
        <f>IFERROR($D$16,NA())</f>
        <v>0</v>
      </c>
      <c r="F6">
        <v>0</v>
      </c>
    </row>
    <row r="8" spans="1:6" ht="33" x14ac:dyDescent="0.3">
      <c r="A8" s="5" t="s">
        <v>231</v>
      </c>
      <c r="B8" s="5" t="s">
        <v>232</v>
      </c>
      <c r="C8" s="5" t="s">
        <v>234</v>
      </c>
      <c r="D8" s="5" t="s">
        <v>235</v>
      </c>
    </row>
    <row r="9" spans="1:6" x14ac:dyDescent="0.3">
      <c r="A9" s="6" t="s">
        <v>236</v>
      </c>
      <c r="B9" s="11">
        <v>-465935100097.33331</v>
      </c>
      <c r="C9" s="12">
        <f t="shared" ref="C9:C18" si="0">-B9</f>
        <v>465935100097.33331</v>
      </c>
      <c r="D9" s="8">
        <f>IFERROR(MIN(4,INT((_xlfn.RANK.AVG(C9,$C$9:$C$18,1)-1)*5/COUNT($C$9:$C$18))),NA())</f>
        <v>4</v>
      </c>
    </row>
    <row r="10" spans="1:6" x14ac:dyDescent="0.3">
      <c r="A10" s="6" t="s">
        <v>237</v>
      </c>
      <c r="B10" s="11">
        <v>-84657028689.428574</v>
      </c>
      <c r="C10" s="12">
        <f t="shared" si="0"/>
        <v>84657028689.428574</v>
      </c>
      <c r="D10" s="8">
        <f t="shared" ref="D10:D18" si="1">IFERROR(MIN(4,INT((_xlfn.RANK.AVG(C10,$C$9:$C$18,1)-1)*5/COUNT($C$9:$C$18))),NA())</f>
        <v>2</v>
      </c>
    </row>
    <row r="11" spans="1:6" x14ac:dyDescent="0.3">
      <c r="A11" s="6" t="s">
        <v>238</v>
      </c>
      <c r="B11" s="11">
        <v>-206333504777.625</v>
      </c>
      <c r="C11" s="12">
        <f t="shared" si="0"/>
        <v>206333504777.625</v>
      </c>
      <c r="D11" s="8">
        <f t="shared" si="1"/>
        <v>4</v>
      </c>
    </row>
    <row r="12" spans="1:6" x14ac:dyDescent="0.3">
      <c r="A12" s="6" t="s">
        <v>239</v>
      </c>
      <c r="B12" s="11">
        <v>165105838736.52939</v>
      </c>
      <c r="C12" s="12">
        <f t="shared" si="0"/>
        <v>-165105838736.52939</v>
      </c>
      <c r="D12" s="8">
        <f t="shared" si="1"/>
        <v>1</v>
      </c>
    </row>
    <row r="13" spans="1:6" x14ac:dyDescent="0.3">
      <c r="A13" s="6" t="s">
        <v>240</v>
      </c>
      <c r="B13" s="11">
        <v>22225370673.615379</v>
      </c>
      <c r="C13" s="12">
        <f t="shared" si="0"/>
        <v>-22225370673.615379</v>
      </c>
      <c r="D13" s="8">
        <f t="shared" si="1"/>
        <v>1</v>
      </c>
    </row>
    <row r="14" spans="1:6" x14ac:dyDescent="0.3">
      <c r="A14" s="6" t="s">
        <v>241</v>
      </c>
      <c r="B14" s="11">
        <v>-130737671506.4286</v>
      </c>
      <c r="C14" s="12">
        <f t="shared" si="0"/>
        <v>130737671506.4286</v>
      </c>
      <c r="D14" s="8">
        <f t="shared" si="1"/>
        <v>3</v>
      </c>
    </row>
    <row r="15" spans="1:6" x14ac:dyDescent="0.3">
      <c r="A15" s="6" t="s">
        <v>242</v>
      </c>
      <c r="B15" s="11">
        <v>-67949039066.095238</v>
      </c>
      <c r="C15" s="12">
        <f t="shared" si="0"/>
        <v>67949039066.095238</v>
      </c>
      <c r="D15" s="8">
        <f t="shared" si="1"/>
        <v>2</v>
      </c>
    </row>
    <row r="16" spans="1:6" x14ac:dyDescent="0.3">
      <c r="A16" s="6" t="s">
        <v>233</v>
      </c>
      <c r="B16" s="11">
        <v>347901862727.36841</v>
      </c>
      <c r="C16" s="12">
        <f t="shared" si="0"/>
        <v>-347901862727.36841</v>
      </c>
      <c r="D16" s="8">
        <f t="shared" si="1"/>
        <v>0</v>
      </c>
    </row>
    <row r="17" spans="1:4" x14ac:dyDescent="0.3">
      <c r="A17" s="6" t="s">
        <v>243</v>
      </c>
      <c r="B17" s="11">
        <v>438158318397.72729</v>
      </c>
      <c r="C17" s="12">
        <f t="shared" si="0"/>
        <v>-438158318397.72729</v>
      </c>
      <c r="D17" s="8">
        <f t="shared" si="1"/>
        <v>0</v>
      </c>
    </row>
    <row r="18" spans="1:4" x14ac:dyDescent="0.3">
      <c r="A18" s="6" t="s">
        <v>244</v>
      </c>
      <c r="B18" s="11">
        <v>-146374455665</v>
      </c>
      <c r="C18" s="12">
        <f t="shared" si="0"/>
        <v>146374455665</v>
      </c>
      <c r="D18" s="8">
        <f t="shared" si="1"/>
        <v>3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6"/>
  <sheetViews>
    <sheetView workbookViewId="0">
      <pane ySplit="4" topLeftCell="A6" activePane="bottomLeft" state="frozen"/>
      <selection pane="bottomLeft" activeCell="E9" sqref="E9"/>
    </sheetView>
  </sheetViews>
  <sheetFormatPr defaultRowHeight="16.5" x14ac:dyDescent="0.3"/>
  <cols>
    <col min="1" max="1" width="14" customWidth="1"/>
    <col min="2" max="2" width="18.125" bestFit="1" customWidth="1"/>
    <col min="3" max="3" width="19.25" bestFit="1" customWidth="1"/>
    <col min="4" max="4" width="21.875" bestFit="1" customWidth="1"/>
    <col min="5" max="5" width="22" bestFit="1" customWidth="1"/>
    <col min="6" max="6" width="20.375" bestFit="1" customWidth="1"/>
    <col min="7" max="7" width="21.875" bestFit="1" customWidth="1"/>
    <col min="8" max="8" width="20.75" customWidth="1"/>
    <col min="9" max="11" width="16" customWidth="1"/>
  </cols>
  <sheetData>
    <row r="1" spans="1:11" ht="24" x14ac:dyDescent="0.45">
      <c r="A1" s="1" t="s">
        <v>245</v>
      </c>
    </row>
    <row r="2" spans="1:11" x14ac:dyDescent="0.3">
      <c r="A2" t="s">
        <v>1</v>
      </c>
      <c r="B2" s="2">
        <v>46142</v>
      </c>
      <c r="C2" t="s">
        <v>2</v>
      </c>
      <c r="D2">
        <v>299</v>
      </c>
    </row>
    <row r="4" spans="1:11" x14ac:dyDescent="0.3">
      <c r="A4" s="3" t="s">
        <v>3</v>
      </c>
      <c r="B4" s="3" t="s">
        <v>4</v>
      </c>
      <c r="C4" s="3" t="s">
        <v>246</v>
      </c>
      <c r="D4" s="3" t="s">
        <v>247</v>
      </c>
      <c r="E4" s="3" t="s">
        <v>248</v>
      </c>
      <c r="F4" s="3" t="s">
        <v>249</v>
      </c>
      <c r="G4" s="3" t="s">
        <v>250</v>
      </c>
      <c r="H4" s="3" t="s">
        <v>251</v>
      </c>
      <c r="I4" s="3" t="s">
        <v>252</v>
      </c>
      <c r="J4" s="3" t="s">
        <v>8</v>
      </c>
      <c r="K4" s="3" t="s">
        <v>9</v>
      </c>
    </row>
    <row r="5" spans="1:11" x14ac:dyDescent="0.3">
      <c r="A5" t="s">
        <v>11</v>
      </c>
      <c r="B5" t="s">
        <v>12</v>
      </c>
      <c r="C5" t="s">
        <v>253</v>
      </c>
      <c r="D5" s="18">
        <v>27479300000000</v>
      </c>
      <c r="E5" s="18">
        <v>1289100000000000</v>
      </c>
      <c r="F5" s="18">
        <v>16672300000000</v>
      </c>
      <c r="G5" s="18">
        <v>178552000000000</v>
      </c>
      <c r="H5" s="17">
        <f>E5+F5-G5</f>
        <v>1127220300000000</v>
      </c>
      <c r="I5" s="10">
        <f>IFERROR(IF(H5&lt;=0,-1E+99,D5/H5),NA())</f>
        <v>2.4377932157538328E-2</v>
      </c>
      <c r="J5" s="4">
        <f>IFERROR(MIN(4,INT((_xlfn.RANK.AVG(I5,$H$9:$H$186,1)-1)*5/COUNT($H$9:$H$186))),NA())</f>
        <v>2</v>
      </c>
      <c r="K5">
        <v>2</v>
      </c>
    </row>
    <row r="6" spans="1:11" x14ac:dyDescent="0.3">
      <c r="A6" t="s">
        <v>14</v>
      </c>
      <c r="B6" t="s">
        <v>15</v>
      </c>
      <c r="C6" t="s">
        <v>253</v>
      </c>
      <c r="D6" s="18">
        <v>20611100000000</v>
      </c>
      <c r="E6" s="18">
        <v>916535000000000</v>
      </c>
      <c r="F6" s="18">
        <v>26583900000000</v>
      </c>
      <c r="G6" s="18">
        <v>40157400000000</v>
      </c>
      <c r="H6" s="17">
        <f>E6+F6-G6</f>
        <v>902961500000000</v>
      </c>
      <c r="I6" s="10">
        <f>IFERROR(IF(H6&lt;=0,-1E+99,D6/H6),NA())</f>
        <v>2.2826111633773977E-2</v>
      </c>
      <c r="J6" s="4">
        <f>IFERROR(MIN(4,INT((_xlfn.RANK.AVG(I6,$H$9:$H$186,1)-1)*5/COUNT($H$9:$H$186))),NA())</f>
        <v>2</v>
      </c>
      <c r="K6">
        <v>2</v>
      </c>
    </row>
    <row r="8" spans="1:11" x14ac:dyDescent="0.3">
      <c r="A8" s="5" t="s">
        <v>4</v>
      </c>
      <c r="B8" s="5" t="s">
        <v>246</v>
      </c>
      <c r="C8" s="5" t="s">
        <v>247</v>
      </c>
      <c r="D8" s="5" t="s">
        <v>248</v>
      </c>
      <c r="E8" s="5" t="s">
        <v>249</v>
      </c>
      <c r="F8" s="5" t="s">
        <v>250</v>
      </c>
      <c r="G8" s="5" t="s">
        <v>251</v>
      </c>
      <c r="H8" s="5" t="s">
        <v>252</v>
      </c>
      <c r="I8" s="5" t="s">
        <v>8</v>
      </c>
    </row>
    <row r="9" spans="1:11" x14ac:dyDescent="0.3">
      <c r="A9" s="6" t="s">
        <v>12</v>
      </c>
      <c r="B9" s="6" t="s">
        <v>253</v>
      </c>
      <c r="C9" s="11">
        <v>27479300000000</v>
      </c>
      <c r="D9" s="11">
        <v>1289100000000000</v>
      </c>
      <c r="E9" s="11">
        <v>16672300000000</v>
      </c>
      <c r="F9" s="11">
        <v>178552000000000</v>
      </c>
      <c r="G9" s="12">
        <f t="shared" ref="G9:G40" si="0">D9+E9-F9</f>
        <v>1127220300000000</v>
      </c>
      <c r="H9" s="9">
        <f t="shared" ref="H9:H40" si="1">IFERROR(IF(G9&lt;=0,-1E+99,C9/G9),NA())</f>
        <v>2.4377932157538328E-2</v>
      </c>
      <c r="I9" s="8">
        <f>IFERROR(MIN(4,INT((_xlfn.RANK.AVG(H9,$H$9:$H$186,1)-1)*5/COUNT($H$9:$H$186))),NA())</f>
        <v>2</v>
      </c>
    </row>
    <row r="10" spans="1:11" x14ac:dyDescent="0.3">
      <c r="A10" s="6" t="s">
        <v>15</v>
      </c>
      <c r="B10" s="6" t="s">
        <v>253</v>
      </c>
      <c r="C10" s="11">
        <v>20611100000000</v>
      </c>
      <c r="D10" s="11">
        <v>916535000000000</v>
      </c>
      <c r="E10" s="11">
        <v>26583900000000</v>
      </c>
      <c r="F10" s="11">
        <v>40157400000000</v>
      </c>
      <c r="G10" s="12">
        <f t="shared" si="0"/>
        <v>902961500000000</v>
      </c>
      <c r="H10" s="9">
        <f t="shared" si="1"/>
        <v>2.2826111633773977E-2</v>
      </c>
      <c r="I10" s="8">
        <f t="shared" ref="I10:I73" si="2">IFERROR(MIN(4,INT((_xlfn.RANK.AVG(H10,$H$9:$H$186,1)-1)*5/COUNT($H$9:$H$186))),NA())</f>
        <v>2</v>
      </c>
    </row>
    <row r="11" spans="1:11" x14ac:dyDescent="0.3">
      <c r="A11" s="6" t="s">
        <v>25</v>
      </c>
      <c r="B11" s="6" t="s">
        <v>253</v>
      </c>
      <c r="C11" s="11">
        <v>791557000000</v>
      </c>
      <c r="D11" s="11">
        <v>68047700000000</v>
      </c>
      <c r="E11" s="11">
        <v>1221620000000</v>
      </c>
      <c r="F11" s="11">
        <v>3147110000000</v>
      </c>
      <c r="G11" s="12">
        <f t="shared" si="0"/>
        <v>66122210000000</v>
      </c>
      <c r="H11" s="9">
        <f t="shared" si="1"/>
        <v>1.1971121352416987E-2</v>
      </c>
      <c r="I11" s="8">
        <f t="shared" si="2"/>
        <v>1</v>
      </c>
    </row>
    <row r="12" spans="1:11" x14ac:dyDescent="0.3">
      <c r="A12" s="6" t="s">
        <v>26</v>
      </c>
      <c r="B12" s="6" t="s">
        <v>253</v>
      </c>
      <c r="C12" s="11">
        <v>-6035670000000</v>
      </c>
      <c r="D12" s="11">
        <v>107757000000000</v>
      </c>
      <c r="E12" s="11">
        <v>24792500000000</v>
      </c>
      <c r="F12" s="11">
        <v>12226900000000</v>
      </c>
      <c r="G12" s="12">
        <f t="shared" si="0"/>
        <v>120322600000000</v>
      </c>
      <c r="H12" s="9">
        <f t="shared" si="1"/>
        <v>-5.0162396756719019E-2</v>
      </c>
      <c r="I12" s="8">
        <f t="shared" si="2"/>
        <v>0</v>
      </c>
    </row>
    <row r="13" spans="1:11" x14ac:dyDescent="0.3">
      <c r="A13" s="6" t="s">
        <v>27</v>
      </c>
      <c r="B13" s="6" t="s">
        <v>253</v>
      </c>
      <c r="C13" s="11">
        <v>1371190000000</v>
      </c>
      <c r="D13" s="11">
        <v>73065300000000</v>
      </c>
      <c r="E13" s="11">
        <v>12498500000000</v>
      </c>
      <c r="F13" s="11">
        <v>14480600000000</v>
      </c>
      <c r="G13" s="12">
        <f t="shared" si="0"/>
        <v>71083200000000</v>
      </c>
      <c r="H13" s="9">
        <f t="shared" si="1"/>
        <v>1.9289930672789071E-2</v>
      </c>
      <c r="I13" s="8">
        <f t="shared" si="2"/>
        <v>2</v>
      </c>
    </row>
    <row r="14" spans="1:11" x14ac:dyDescent="0.3">
      <c r="A14" s="6" t="s">
        <v>28</v>
      </c>
      <c r="B14" s="6" t="s">
        <v>253</v>
      </c>
      <c r="C14" s="11">
        <v>-15814700000000</v>
      </c>
      <c r="D14" s="11">
        <v>108726000000000</v>
      </c>
      <c r="E14" s="11">
        <v>166342000000000</v>
      </c>
      <c r="F14" s="11">
        <v>39173600000000</v>
      </c>
      <c r="G14" s="12">
        <f t="shared" si="0"/>
        <v>235894400000000</v>
      </c>
      <c r="H14" s="9">
        <f t="shared" si="1"/>
        <v>-6.7041438881126472E-2</v>
      </c>
      <c r="I14" s="8">
        <f t="shared" si="2"/>
        <v>0</v>
      </c>
    </row>
    <row r="15" spans="1:11" x14ac:dyDescent="0.3">
      <c r="A15" s="6" t="s">
        <v>30</v>
      </c>
      <c r="B15" s="6" t="s">
        <v>253</v>
      </c>
      <c r="C15" s="11">
        <v>7523450000000</v>
      </c>
      <c r="D15" s="11">
        <v>59264700000000</v>
      </c>
      <c r="E15" s="11">
        <v>2684860000000</v>
      </c>
      <c r="F15" s="11">
        <v>28832000000000</v>
      </c>
      <c r="G15" s="12">
        <f t="shared" si="0"/>
        <v>33117560000000</v>
      </c>
      <c r="H15" s="9">
        <f t="shared" si="1"/>
        <v>0.2271740430152463</v>
      </c>
      <c r="I15" s="8">
        <f t="shared" si="2"/>
        <v>4</v>
      </c>
    </row>
    <row r="16" spans="1:11" x14ac:dyDescent="0.3">
      <c r="A16" s="6" t="s">
        <v>31</v>
      </c>
      <c r="B16" s="6" t="s">
        <v>253</v>
      </c>
      <c r="C16" s="11">
        <v>4749030000000</v>
      </c>
      <c r="D16" s="11">
        <v>71898400000000</v>
      </c>
      <c r="E16" s="11">
        <v>767786000000</v>
      </c>
      <c r="F16" s="11">
        <v>7539220000000</v>
      </c>
      <c r="G16" s="12">
        <f t="shared" si="0"/>
        <v>65126966000000</v>
      </c>
      <c r="H16" s="9">
        <f t="shared" si="1"/>
        <v>7.2919564531840772E-2</v>
      </c>
      <c r="I16" s="8">
        <f t="shared" si="2"/>
        <v>3</v>
      </c>
    </row>
    <row r="17" spans="1:9" x14ac:dyDescent="0.3">
      <c r="A17" s="6" t="s">
        <v>32</v>
      </c>
      <c r="B17" s="6" t="s">
        <v>253</v>
      </c>
      <c r="C17" s="11">
        <v>699454000000</v>
      </c>
      <c r="D17" s="11">
        <v>44498600000000</v>
      </c>
      <c r="E17" s="11">
        <v>2891990000000</v>
      </c>
      <c r="F17" s="11">
        <v>2786290000000</v>
      </c>
      <c r="G17" s="12">
        <f t="shared" si="0"/>
        <v>44604300000000</v>
      </c>
      <c r="H17" s="9">
        <f t="shared" si="1"/>
        <v>1.5681313236616201E-2</v>
      </c>
      <c r="I17" s="8">
        <f t="shared" si="2"/>
        <v>2</v>
      </c>
    </row>
    <row r="18" spans="1:9" x14ac:dyDescent="0.3">
      <c r="A18" s="6" t="s">
        <v>33</v>
      </c>
      <c r="B18" s="6" t="s">
        <v>253</v>
      </c>
      <c r="C18" s="11">
        <v>123457000000</v>
      </c>
      <c r="D18" s="11">
        <v>81415300000000</v>
      </c>
      <c r="E18" s="11">
        <v>7154390000000</v>
      </c>
      <c r="F18" s="11">
        <v>7474400000000</v>
      </c>
      <c r="G18" s="12">
        <f t="shared" si="0"/>
        <v>81095290000000</v>
      </c>
      <c r="H18" s="9">
        <f t="shared" si="1"/>
        <v>1.5223695482191383E-3</v>
      </c>
      <c r="I18" s="8">
        <f t="shared" si="2"/>
        <v>1</v>
      </c>
    </row>
    <row r="19" spans="1:9" x14ac:dyDescent="0.3">
      <c r="A19" s="6" t="s">
        <v>34</v>
      </c>
      <c r="B19" s="6" t="s">
        <v>253</v>
      </c>
      <c r="C19" s="11">
        <v>2086240000000</v>
      </c>
      <c r="D19" s="11">
        <v>33095900000000</v>
      </c>
      <c r="E19" s="11">
        <v>3917050000000</v>
      </c>
      <c r="F19" s="11">
        <v>10307900000000</v>
      </c>
      <c r="G19" s="12">
        <f t="shared" si="0"/>
        <v>26705050000000</v>
      </c>
      <c r="H19" s="9">
        <f t="shared" si="1"/>
        <v>7.8121553788515652E-2</v>
      </c>
      <c r="I19" s="8">
        <f t="shared" si="2"/>
        <v>3</v>
      </c>
    </row>
    <row r="20" spans="1:9" x14ac:dyDescent="0.3">
      <c r="A20" s="6" t="s">
        <v>36</v>
      </c>
      <c r="B20" s="6" t="s">
        <v>253</v>
      </c>
      <c r="C20" s="11">
        <v>2596120000000</v>
      </c>
      <c r="D20" s="11">
        <v>48407400000000</v>
      </c>
      <c r="E20" s="11">
        <v>3989630000000</v>
      </c>
      <c r="F20" s="11">
        <v>14502500000000</v>
      </c>
      <c r="G20" s="12">
        <f t="shared" si="0"/>
        <v>37894530000000</v>
      </c>
      <c r="H20" s="9">
        <f t="shared" si="1"/>
        <v>6.8509096167705466E-2</v>
      </c>
      <c r="I20" s="8">
        <f t="shared" si="2"/>
        <v>3</v>
      </c>
    </row>
    <row r="21" spans="1:9" x14ac:dyDescent="0.3">
      <c r="A21" s="6" t="s">
        <v>37</v>
      </c>
      <c r="B21" s="6" t="s">
        <v>253</v>
      </c>
      <c r="C21" s="11">
        <v>3140550000000</v>
      </c>
      <c r="D21" s="11">
        <v>38561300000000</v>
      </c>
      <c r="E21" s="11">
        <v>3939540000000</v>
      </c>
      <c r="F21" s="11">
        <v>17119800000000</v>
      </c>
      <c r="G21" s="12">
        <f t="shared" si="0"/>
        <v>25381040000000</v>
      </c>
      <c r="H21" s="9">
        <f t="shared" si="1"/>
        <v>0.12373606440082834</v>
      </c>
      <c r="I21" s="8">
        <f t="shared" si="2"/>
        <v>4</v>
      </c>
    </row>
    <row r="22" spans="1:9" x14ac:dyDescent="0.3">
      <c r="A22" s="6" t="s">
        <v>39</v>
      </c>
      <c r="B22" s="6" t="s">
        <v>253</v>
      </c>
      <c r="C22" s="11">
        <v>-261210000000</v>
      </c>
      <c r="D22" s="11">
        <v>40385300000000</v>
      </c>
      <c r="E22" s="11">
        <v>5305020000000</v>
      </c>
      <c r="F22" s="11">
        <v>3075120000000</v>
      </c>
      <c r="G22" s="12">
        <f t="shared" si="0"/>
        <v>42615200000000</v>
      </c>
      <c r="H22" s="9">
        <f t="shared" si="1"/>
        <v>-6.1295030881000209E-3</v>
      </c>
      <c r="I22" s="8">
        <f t="shared" si="2"/>
        <v>1</v>
      </c>
    </row>
    <row r="23" spans="1:9" x14ac:dyDescent="0.3">
      <c r="A23" s="6" t="s">
        <v>40</v>
      </c>
      <c r="B23" s="6" t="s">
        <v>253</v>
      </c>
      <c r="C23" s="11">
        <v>5910680000000</v>
      </c>
      <c r="D23" s="11">
        <v>32661800000000</v>
      </c>
      <c r="E23" s="11">
        <v>1631500000000</v>
      </c>
      <c r="F23" s="11">
        <v>13802700000000</v>
      </c>
      <c r="G23" s="12">
        <f t="shared" si="0"/>
        <v>20490600000000</v>
      </c>
      <c r="H23" s="9">
        <f t="shared" si="1"/>
        <v>0.28845812226093914</v>
      </c>
      <c r="I23" s="8">
        <f t="shared" si="2"/>
        <v>4</v>
      </c>
    </row>
    <row r="24" spans="1:9" x14ac:dyDescent="0.3">
      <c r="A24" s="6" t="s">
        <v>41</v>
      </c>
      <c r="B24" s="6" t="s">
        <v>253</v>
      </c>
      <c r="C24" s="11">
        <v>2549540000000</v>
      </c>
      <c r="D24" s="11">
        <v>19336400000000</v>
      </c>
      <c r="E24" s="11">
        <v>4776050000000</v>
      </c>
      <c r="F24" s="11">
        <v>14648100000000</v>
      </c>
      <c r="G24" s="12">
        <f t="shared" si="0"/>
        <v>9464350000000</v>
      </c>
      <c r="H24" s="9">
        <f t="shared" si="1"/>
        <v>0.26938352871565402</v>
      </c>
      <c r="I24" s="8">
        <f t="shared" si="2"/>
        <v>4</v>
      </c>
    </row>
    <row r="25" spans="1:9" x14ac:dyDescent="0.3">
      <c r="A25" s="6" t="s">
        <v>42</v>
      </c>
      <c r="B25" s="6" t="s">
        <v>253</v>
      </c>
      <c r="C25" s="11">
        <v>814134000000</v>
      </c>
      <c r="D25" s="11">
        <v>20953900000000</v>
      </c>
      <c r="E25" s="11">
        <v>4019030000000</v>
      </c>
      <c r="F25" s="11">
        <v>10411200000000</v>
      </c>
      <c r="G25" s="12">
        <f t="shared" si="0"/>
        <v>14561730000000</v>
      </c>
      <c r="H25" s="9">
        <f t="shared" si="1"/>
        <v>5.5909153651386205E-2</v>
      </c>
      <c r="I25" s="8">
        <f t="shared" si="2"/>
        <v>3</v>
      </c>
    </row>
    <row r="26" spans="1:9" x14ac:dyDescent="0.3">
      <c r="A26" s="6" t="s">
        <v>44</v>
      </c>
      <c r="B26" s="6" t="s">
        <v>253</v>
      </c>
      <c r="C26" s="11">
        <v>-1148650000000</v>
      </c>
      <c r="D26" s="11">
        <v>36609600000000</v>
      </c>
      <c r="E26" s="11">
        <v>28791200000000</v>
      </c>
      <c r="F26" s="11">
        <v>29541200000000</v>
      </c>
      <c r="G26" s="12">
        <f t="shared" si="0"/>
        <v>35859600000000</v>
      </c>
      <c r="H26" s="9">
        <f t="shared" si="1"/>
        <v>-3.2031868732501197E-2</v>
      </c>
      <c r="I26" s="8">
        <f t="shared" si="2"/>
        <v>0</v>
      </c>
    </row>
    <row r="27" spans="1:9" x14ac:dyDescent="0.3">
      <c r="A27" s="6" t="s">
        <v>47</v>
      </c>
      <c r="B27" s="6" t="s">
        <v>253</v>
      </c>
      <c r="C27" s="11">
        <v>751512000000</v>
      </c>
      <c r="D27" s="11">
        <v>29304700000000</v>
      </c>
      <c r="E27" s="11">
        <v>82497044000</v>
      </c>
      <c r="F27" s="11">
        <v>2757740000000</v>
      </c>
      <c r="G27" s="12">
        <f t="shared" si="0"/>
        <v>26629457044000</v>
      </c>
      <c r="H27" s="9">
        <f t="shared" si="1"/>
        <v>2.8221078588206758E-2</v>
      </c>
      <c r="I27" s="8">
        <f t="shared" si="2"/>
        <v>2</v>
      </c>
    </row>
    <row r="28" spans="1:9" x14ac:dyDescent="0.3">
      <c r="A28" s="6" t="s">
        <v>48</v>
      </c>
      <c r="B28" s="6" t="s">
        <v>253</v>
      </c>
      <c r="C28" s="11">
        <v>361822000000</v>
      </c>
      <c r="D28" s="11">
        <v>110977000000000</v>
      </c>
      <c r="E28" s="11">
        <v>99287000000</v>
      </c>
      <c r="F28" s="11">
        <v>2578690000000</v>
      </c>
      <c r="G28" s="12">
        <f t="shared" si="0"/>
        <v>108497597000000</v>
      </c>
      <c r="H28" s="9">
        <f t="shared" si="1"/>
        <v>3.3348388351863681E-3</v>
      </c>
      <c r="I28" s="8">
        <f t="shared" si="2"/>
        <v>1</v>
      </c>
    </row>
    <row r="29" spans="1:9" x14ac:dyDescent="0.3">
      <c r="A29" s="6" t="s">
        <v>49</v>
      </c>
      <c r="B29" s="6" t="s">
        <v>253</v>
      </c>
      <c r="C29" s="11">
        <v>4542260000000</v>
      </c>
      <c r="D29" s="11">
        <v>27957500000000</v>
      </c>
      <c r="E29" s="11">
        <v>133664000000000</v>
      </c>
      <c r="F29" s="11">
        <v>19165400000000</v>
      </c>
      <c r="G29" s="12">
        <f t="shared" si="0"/>
        <v>142456100000000</v>
      </c>
      <c r="H29" s="9">
        <f t="shared" si="1"/>
        <v>3.1885331691657991E-2</v>
      </c>
      <c r="I29" s="8">
        <f t="shared" si="2"/>
        <v>2</v>
      </c>
    </row>
    <row r="30" spans="1:9" x14ac:dyDescent="0.3">
      <c r="A30" s="6" t="s">
        <v>50</v>
      </c>
      <c r="B30" s="6" t="s">
        <v>253</v>
      </c>
      <c r="C30" s="11">
        <v>892626000000</v>
      </c>
      <c r="D30" s="11">
        <v>12563200000000</v>
      </c>
      <c r="E30" s="11">
        <v>472347000000</v>
      </c>
      <c r="F30" s="11">
        <v>1749250000000</v>
      </c>
      <c r="G30" s="12">
        <f t="shared" si="0"/>
        <v>11286297000000</v>
      </c>
      <c r="H30" s="9">
        <f t="shared" si="1"/>
        <v>7.9089359424087458E-2</v>
      </c>
      <c r="I30" s="8">
        <f t="shared" si="2"/>
        <v>3</v>
      </c>
    </row>
    <row r="31" spans="1:9" x14ac:dyDescent="0.3">
      <c r="A31" s="6" t="s">
        <v>51</v>
      </c>
      <c r="B31" s="6" t="s">
        <v>253</v>
      </c>
      <c r="C31" s="11">
        <v>-1202630000000</v>
      </c>
      <c r="D31" s="11">
        <v>32958400000000</v>
      </c>
      <c r="E31" s="11">
        <v>5155050000000</v>
      </c>
      <c r="F31" s="11">
        <v>2159120000000</v>
      </c>
      <c r="G31" s="12">
        <f t="shared" si="0"/>
        <v>35954330000000</v>
      </c>
      <c r="H31" s="9">
        <f t="shared" si="1"/>
        <v>-3.3448822436685649E-2</v>
      </c>
      <c r="I31" s="8">
        <f t="shared" si="2"/>
        <v>0</v>
      </c>
    </row>
    <row r="32" spans="1:9" x14ac:dyDescent="0.3">
      <c r="A32" s="6" t="s">
        <v>52</v>
      </c>
      <c r="B32" s="6" t="s">
        <v>253</v>
      </c>
      <c r="C32" s="11">
        <v>2102160000000</v>
      </c>
      <c r="D32" s="11">
        <v>28468000000000</v>
      </c>
      <c r="E32" s="11">
        <v>2740110000000</v>
      </c>
      <c r="F32" s="11">
        <v>4103460000000</v>
      </c>
      <c r="G32" s="12">
        <f t="shared" si="0"/>
        <v>27104650000000</v>
      </c>
      <c r="H32" s="9">
        <f t="shared" si="1"/>
        <v>7.7557171924374599E-2</v>
      </c>
      <c r="I32" s="8">
        <f t="shared" si="2"/>
        <v>3</v>
      </c>
    </row>
    <row r="33" spans="1:9" x14ac:dyDescent="0.3">
      <c r="A33" s="6" t="s">
        <v>54</v>
      </c>
      <c r="B33" s="6" t="s">
        <v>253</v>
      </c>
      <c r="C33" s="11">
        <v>964612000000</v>
      </c>
      <c r="D33" s="11">
        <v>45131000000000</v>
      </c>
      <c r="E33" s="11">
        <v>276670000000</v>
      </c>
      <c r="F33" s="11">
        <v>1679790000000</v>
      </c>
      <c r="G33" s="12">
        <f t="shared" si="0"/>
        <v>43727880000000</v>
      </c>
      <c r="H33" s="9">
        <f t="shared" si="1"/>
        <v>2.2059427532274602E-2</v>
      </c>
      <c r="I33" s="8">
        <f t="shared" si="2"/>
        <v>2</v>
      </c>
    </row>
    <row r="34" spans="1:9" x14ac:dyDescent="0.3">
      <c r="A34" s="6" t="s">
        <v>55</v>
      </c>
      <c r="B34" s="6" t="s">
        <v>253</v>
      </c>
      <c r="C34" s="11">
        <v>-195668000000</v>
      </c>
      <c r="D34" s="11">
        <v>20446800000000</v>
      </c>
      <c r="E34" s="11">
        <v>2236100000000</v>
      </c>
      <c r="F34" s="11">
        <v>3947970000000</v>
      </c>
      <c r="G34" s="12">
        <f t="shared" si="0"/>
        <v>18734930000000</v>
      </c>
      <c r="H34" s="9">
        <f t="shared" si="1"/>
        <v>-1.0444020874377433E-2</v>
      </c>
      <c r="I34" s="8">
        <f t="shared" si="2"/>
        <v>1</v>
      </c>
    </row>
    <row r="35" spans="1:9" x14ac:dyDescent="0.3">
      <c r="A35" s="6" t="s">
        <v>56</v>
      </c>
      <c r="B35" s="6" t="s">
        <v>253</v>
      </c>
      <c r="C35" s="11">
        <v>-4675230000000</v>
      </c>
      <c r="D35" s="11">
        <v>28025200000000</v>
      </c>
      <c r="E35" s="11">
        <v>35651500000000</v>
      </c>
      <c r="F35" s="11">
        <v>19016400000000</v>
      </c>
      <c r="G35" s="12">
        <f t="shared" si="0"/>
        <v>44660300000000</v>
      </c>
      <c r="H35" s="9">
        <f t="shared" si="1"/>
        <v>-0.10468424976992989</v>
      </c>
      <c r="I35" s="8">
        <f t="shared" si="2"/>
        <v>0</v>
      </c>
    </row>
    <row r="36" spans="1:9" x14ac:dyDescent="0.3">
      <c r="A36" s="6" t="s">
        <v>57</v>
      </c>
      <c r="B36" s="6" t="s">
        <v>253</v>
      </c>
      <c r="C36" s="11">
        <v>-3196160000000</v>
      </c>
      <c r="D36" s="11">
        <v>24715500000000</v>
      </c>
      <c r="E36" s="11">
        <v>47078200000000</v>
      </c>
      <c r="F36" s="11">
        <v>25486500000000</v>
      </c>
      <c r="G36" s="12">
        <f t="shared" si="0"/>
        <v>46307200000000</v>
      </c>
      <c r="H36" s="9">
        <f t="shared" si="1"/>
        <v>-6.9020800221131925E-2</v>
      </c>
      <c r="I36" s="8">
        <f t="shared" si="2"/>
        <v>0</v>
      </c>
    </row>
    <row r="37" spans="1:9" x14ac:dyDescent="0.3">
      <c r="A37" s="6" t="s">
        <v>58</v>
      </c>
      <c r="B37" s="6" t="s">
        <v>253</v>
      </c>
      <c r="C37" s="11">
        <v>-3481050000000</v>
      </c>
      <c r="D37" s="11">
        <v>30813600000000</v>
      </c>
      <c r="E37" s="11">
        <v>86088100000000</v>
      </c>
      <c r="F37" s="11">
        <v>50805200000000</v>
      </c>
      <c r="G37" s="12">
        <f t="shared" si="0"/>
        <v>66096500000000</v>
      </c>
      <c r="H37" s="9">
        <f t="shared" si="1"/>
        <v>-5.2666177482922696E-2</v>
      </c>
      <c r="I37" s="8">
        <f t="shared" si="2"/>
        <v>0</v>
      </c>
    </row>
    <row r="38" spans="1:9" x14ac:dyDescent="0.3">
      <c r="A38" s="6" t="s">
        <v>61</v>
      </c>
      <c r="B38" s="6" t="s">
        <v>253</v>
      </c>
      <c r="C38" s="11">
        <v>1026540000000</v>
      </c>
      <c r="D38" s="11">
        <v>15348100000000</v>
      </c>
      <c r="E38" s="11">
        <v>11587800000000</v>
      </c>
      <c r="F38" s="11">
        <v>13277800000000</v>
      </c>
      <c r="G38" s="12">
        <f t="shared" si="0"/>
        <v>13658100000000</v>
      </c>
      <c r="H38" s="9">
        <f t="shared" si="1"/>
        <v>7.5159795286313613E-2</v>
      </c>
      <c r="I38" s="8">
        <f t="shared" si="2"/>
        <v>3</v>
      </c>
    </row>
    <row r="39" spans="1:9" x14ac:dyDescent="0.3">
      <c r="A39" s="6" t="s">
        <v>62</v>
      </c>
      <c r="B39" s="6" t="s">
        <v>253</v>
      </c>
      <c r="C39" s="11">
        <v>121452000000</v>
      </c>
      <c r="D39" s="11">
        <v>11335900000000</v>
      </c>
      <c r="E39" s="11">
        <v>1279930000000</v>
      </c>
      <c r="F39" s="11">
        <v>2170750000000</v>
      </c>
      <c r="G39" s="12">
        <f t="shared" si="0"/>
        <v>10445080000000</v>
      </c>
      <c r="H39" s="9">
        <f t="shared" si="1"/>
        <v>1.162767542230409E-2</v>
      </c>
      <c r="I39" s="8">
        <f t="shared" si="2"/>
        <v>1</v>
      </c>
    </row>
    <row r="40" spans="1:9" x14ac:dyDescent="0.3">
      <c r="A40" s="6" t="s">
        <v>63</v>
      </c>
      <c r="B40" s="6" t="s">
        <v>253</v>
      </c>
      <c r="C40" s="11">
        <v>2891930000000</v>
      </c>
      <c r="D40" s="11">
        <v>22950700000000</v>
      </c>
      <c r="E40" s="11">
        <v>14369500000000</v>
      </c>
      <c r="F40" s="11">
        <v>22010500000000</v>
      </c>
      <c r="G40" s="12">
        <f t="shared" si="0"/>
        <v>15309700000000</v>
      </c>
      <c r="H40" s="9">
        <f t="shared" si="1"/>
        <v>0.18889527554426278</v>
      </c>
      <c r="I40" s="8">
        <f t="shared" si="2"/>
        <v>4</v>
      </c>
    </row>
    <row r="41" spans="1:9" x14ac:dyDescent="0.3">
      <c r="A41" s="6" t="s">
        <v>64</v>
      </c>
      <c r="B41" s="6" t="s">
        <v>253</v>
      </c>
      <c r="C41" s="11">
        <v>-3768010000000</v>
      </c>
      <c r="D41" s="11">
        <v>56006900000000</v>
      </c>
      <c r="E41" s="11">
        <v>11641200000000</v>
      </c>
      <c r="F41" s="11">
        <v>6594890000000</v>
      </c>
      <c r="G41" s="12">
        <f t="shared" ref="G41:G72" si="3">D41+E41-F41</f>
        <v>61053210000000</v>
      </c>
      <c r="H41" s="9">
        <f t="shared" ref="H41:H72" si="4">IFERROR(IF(G41&lt;=0,-1E+99,C41/G41),NA())</f>
        <v>-6.1716820458744104E-2</v>
      </c>
      <c r="I41" s="8">
        <f t="shared" si="2"/>
        <v>0</v>
      </c>
    </row>
    <row r="42" spans="1:9" x14ac:dyDescent="0.3">
      <c r="A42" s="6" t="s">
        <v>65</v>
      </c>
      <c r="B42" s="6" t="s">
        <v>253</v>
      </c>
      <c r="C42" s="11">
        <v>911256000000</v>
      </c>
      <c r="D42" s="11">
        <v>15283400000000</v>
      </c>
      <c r="E42" s="11">
        <v>666612000000</v>
      </c>
      <c r="F42" s="11">
        <v>4089970000000</v>
      </c>
      <c r="G42" s="12">
        <f t="shared" si="3"/>
        <v>11860042000000</v>
      </c>
      <c r="H42" s="9">
        <f t="shared" si="4"/>
        <v>7.6834129255191508E-2</v>
      </c>
      <c r="I42" s="8">
        <f t="shared" si="2"/>
        <v>3</v>
      </c>
    </row>
    <row r="43" spans="1:9" x14ac:dyDescent="0.3">
      <c r="A43" s="6" t="s">
        <v>66</v>
      </c>
      <c r="B43" s="6" t="s">
        <v>253</v>
      </c>
      <c r="C43" s="11">
        <v>1726570000000</v>
      </c>
      <c r="D43" s="11">
        <v>20426500000000</v>
      </c>
      <c r="E43" s="11">
        <v>11198600000000</v>
      </c>
      <c r="F43" s="11">
        <v>6566840000000</v>
      </c>
      <c r="G43" s="12">
        <f t="shared" si="3"/>
        <v>25058260000000</v>
      </c>
      <c r="H43" s="9">
        <f t="shared" si="4"/>
        <v>6.890223024264254E-2</v>
      </c>
      <c r="I43" s="8">
        <f t="shared" si="2"/>
        <v>3</v>
      </c>
    </row>
    <row r="44" spans="1:9" x14ac:dyDescent="0.3">
      <c r="A44" s="6" t="s">
        <v>68</v>
      </c>
      <c r="B44" s="6" t="s">
        <v>253</v>
      </c>
      <c r="C44" s="11">
        <v>1234240000000</v>
      </c>
      <c r="D44" s="11">
        <v>12860200000000</v>
      </c>
      <c r="E44" s="11">
        <v>852567000000</v>
      </c>
      <c r="F44" s="11">
        <v>9257370000000</v>
      </c>
      <c r="G44" s="12">
        <f t="shared" si="3"/>
        <v>4455397000000</v>
      </c>
      <c r="H44" s="9">
        <f t="shared" si="4"/>
        <v>0.27702132941239582</v>
      </c>
      <c r="I44" s="8">
        <f t="shared" si="2"/>
        <v>4</v>
      </c>
    </row>
    <row r="45" spans="1:9" x14ac:dyDescent="0.3">
      <c r="A45" s="6" t="s">
        <v>69</v>
      </c>
      <c r="B45" s="6" t="s">
        <v>253</v>
      </c>
      <c r="C45" s="11">
        <v>8154990000000</v>
      </c>
      <c r="D45" s="11">
        <v>24527400000000</v>
      </c>
      <c r="E45" s="11">
        <v>16993300000000</v>
      </c>
      <c r="F45" s="11">
        <v>17085900000000</v>
      </c>
      <c r="G45" s="12">
        <f t="shared" si="3"/>
        <v>24434800000000</v>
      </c>
      <c r="H45" s="9">
        <f t="shared" si="4"/>
        <v>0.33374490480789692</v>
      </c>
      <c r="I45" s="8">
        <f t="shared" si="2"/>
        <v>4</v>
      </c>
    </row>
    <row r="46" spans="1:9" x14ac:dyDescent="0.3">
      <c r="A46" s="6" t="s">
        <v>70</v>
      </c>
      <c r="B46" s="6" t="s">
        <v>253</v>
      </c>
      <c r="C46" s="11">
        <v>-390963000000</v>
      </c>
      <c r="D46" s="11">
        <v>20702000000000</v>
      </c>
      <c r="E46" s="11">
        <v>902782000000</v>
      </c>
      <c r="F46" s="11">
        <v>2704790000000</v>
      </c>
      <c r="G46" s="12">
        <f t="shared" si="3"/>
        <v>18899992000000</v>
      </c>
      <c r="H46" s="9">
        <f t="shared" si="4"/>
        <v>-2.068588177180181E-2</v>
      </c>
      <c r="I46" s="8">
        <f t="shared" si="2"/>
        <v>0</v>
      </c>
    </row>
    <row r="47" spans="1:9" x14ac:dyDescent="0.3">
      <c r="A47" s="6" t="s">
        <v>71</v>
      </c>
      <c r="B47" s="6" t="s">
        <v>253</v>
      </c>
      <c r="C47" s="11">
        <v>-336802000000</v>
      </c>
      <c r="D47" s="11">
        <v>22160200000000</v>
      </c>
      <c r="E47" s="11">
        <v>1074420000000</v>
      </c>
      <c r="F47" s="11">
        <v>1485560000000</v>
      </c>
      <c r="G47" s="12">
        <f t="shared" si="3"/>
        <v>21749060000000</v>
      </c>
      <c r="H47" s="9">
        <f t="shared" si="4"/>
        <v>-1.5485818697451753E-2</v>
      </c>
      <c r="I47" s="8">
        <f t="shared" si="2"/>
        <v>1</v>
      </c>
    </row>
    <row r="48" spans="1:9" x14ac:dyDescent="0.3">
      <c r="A48" s="6" t="s">
        <v>72</v>
      </c>
      <c r="B48" s="6" t="s">
        <v>253</v>
      </c>
      <c r="C48" s="11">
        <v>656209000000</v>
      </c>
      <c r="D48" s="11">
        <v>62145200000000</v>
      </c>
      <c r="E48" s="11">
        <v>2063320000000</v>
      </c>
      <c r="F48" s="11">
        <v>4810080000000</v>
      </c>
      <c r="G48" s="12">
        <f t="shared" si="3"/>
        <v>59398440000000</v>
      </c>
      <c r="H48" s="9">
        <f t="shared" si="4"/>
        <v>1.104757970074635E-2</v>
      </c>
      <c r="I48" s="8">
        <f t="shared" si="2"/>
        <v>1</v>
      </c>
    </row>
    <row r="49" spans="1:9" x14ac:dyDescent="0.3">
      <c r="A49" s="6" t="s">
        <v>73</v>
      </c>
      <c r="B49" s="6" t="s">
        <v>253</v>
      </c>
      <c r="C49" s="11">
        <v>326668000000</v>
      </c>
      <c r="D49" s="11">
        <v>25845400000000</v>
      </c>
      <c r="E49" s="11">
        <v>11006500000000</v>
      </c>
      <c r="F49" s="11">
        <v>10130200000000</v>
      </c>
      <c r="G49" s="12">
        <f t="shared" si="3"/>
        <v>26721700000000</v>
      </c>
      <c r="H49" s="9">
        <f t="shared" si="4"/>
        <v>1.2224821025608401E-2</v>
      </c>
      <c r="I49" s="8">
        <f t="shared" si="2"/>
        <v>1</v>
      </c>
    </row>
    <row r="50" spans="1:9" x14ac:dyDescent="0.3">
      <c r="A50" s="6" t="s">
        <v>74</v>
      </c>
      <c r="B50" s="6" t="s">
        <v>253</v>
      </c>
      <c r="C50" s="11">
        <v>-1838600000000</v>
      </c>
      <c r="D50" s="11">
        <v>22414400000000</v>
      </c>
      <c r="E50" s="11">
        <v>3901690000000</v>
      </c>
      <c r="F50" s="11">
        <v>1695000000000</v>
      </c>
      <c r="G50" s="12">
        <f t="shared" si="3"/>
        <v>24621090000000</v>
      </c>
      <c r="H50" s="9">
        <f t="shared" si="4"/>
        <v>-7.4675816545896223E-2</v>
      </c>
      <c r="I50" s="8">
        <f t="shared" si="2"/>
        <v>0</v>
      </c>
    </row>
    <row r="51" spans="1:9" x14ac:dyDescent="0.3">
      <c r="A51" s="6" t="s">
        <v>201</v>
      </c>
      <c r="B51" s="6" t="s">
        <v>253</v>
      </c>
      <c r="C51" s="11">
        <v>134278000000</v>
      </c>
      <c r="D51" s="11">
        <v>7524110000000</v>
      </c>
      <c r="E51" s="11">
        <v>690675000000</v>
      </c>
      <c r="F51" s="11">
        <v>435523000000</v>
      </c>
      <c r="G51" s="12">
        <f t="shared" si="3"/>
        <v>7779262000000</v>
      </c>
      <c r="H51" s="9">
        <f t="shared" si="4"/>
        <v>1.7261020389851892E-2</v>
      </c>
      <c r="I51" s="8">
        <f t="shared" si="2"/>
        <v>2</v>
      </c>
    </row>
    <row r="52" spans="1:9" x14ac:dyDescent="0.3">
      <c r="A52" s="6" t="s">
        <v>75</v>
      </c>
      <c r="B52" s="6" t="s">
        <v>253</v>
      </c>
      <c r="C52" s="11">
        <v>1821690000000</v>
      </c>
      <c r="D52" s="11">
        <v>17025000000000</v>
      </c>
      <c r="E52" s="11">
        <v>3786350000000</v>
      </c>
      <c r="F52" s="11">
        <v>7941330000000</v>
      </c>
      <c r="G52" s="12">
        <f t="shared" si="3"/>
        <v>12870020000000</v>
      </c>
      <c r="H52" s="9">
        <f t="shared" si="4"/>
        <v>0.14154523458394003</v>
      </c>
      <c r="I52" s="8">
        <f t="shared" si="2"/>
        <v>4</v>
      </c>
    </row>
    <row r="53" spans="1:9" x14ac:dyDescent="0.3">
      <c r="A53" s="6" t="s">
        <v>76</v>
      </c>
      <c r="B53" s="6" t="s">
        <v>253</v>
      </c>
      <c r="C53" s="11">
        <v>1097900000000</v>
      </c>
      <c r="D53" s="11">
        <v>15358100000000</v>
      </c>
      <c r="E53" s="11">
        <v>6193140000000</v>
      </c>
      <c r="F53" s="11">
        <v>5946490000000</v>
      </c>
      <c r="G53" s="12">
        <f t="shared" si="3"/>
        <v>15604750000000</v>
      </c>
      <c r="H53" s="9">
        <f t="shared" si="4"/>
        <v>7.0356782389977404E-2</v>
      </c>
      <c r="I53" s="8">
        <f t="shared" si="2"/>
        <v>3</v>
      </c>
    </row>
    <row r="54" spans="1:9" x14ac:dyDescent="0.3">
      <c r="A54" s="6" t="s">
        <v>77</v>
      </c>
      <c r="B54" s="6" t="s">
        <v>253</v>
      </c>
      <c r="C54" s="11">
        <v>-173297000000</v>
      </c>
      <c r="D54" s="11">
        <v>10101800000000</v>
      </c>
      <c r="E54" s="11">
        <v>567057000000</v>
      </c>
      <c r="F54" s="11">
        <v>562646000000</v>
      </c>
      <c r="G54" s="12">
        <f t="shared" si="3"/>
        <v>10106211000000</v>
      </c>
      <c r="H54" s="9">
        <f t="shared" si="4"/>
        <v>-1.7147573902820751E-2</v>
      </c>
      <c r="I54" s="8">
        <f t="shared" si="2"/>
        <v>1</v>
      </c>
    </row>
    <row r="55" spans="1:9" x14ac:dyDescent="0.3">
      <c r="A55" s="6" t="s">
        <v>78</v>
      </c>
      <c r="B55" s="6" t="s">
        <v>253</v>
      </c>
      <c r="C55" s="11">
        <v>262626000000</v>
      </c>
      <c r="D55" s="11">
        <v>11903300000000</v>
      </c>
      <c r="E55" s="11">
        <v>19480468030</v>
      </c>
      <c r="F55" s="11">
        <v>817964000000</v>
      </c>
      <c r="G55" s="12">
        <f t="shared" si="3"/>
        <v>11104816468030</v>
      </c>
      <c r="H55" s="9">
        <f t="shared" si="4"/>
        <v>2.3649737999370105E-2</v>
      </c>
      <c r="I55" s="8">
        <f t="shared" si="2"/>
        <v>2</v>
      </c>
    </row>
    <row r="56" spans="1:9" x14ac:dyDescent="0.3">
      <c r="A56" s="6" t="s">
        <v>79</v>
      </c>
      <c r="B56" s="6" t="s">
        <v>253</v>
      </c>
      <c r="C56" s="11">
        <v>49458337010</v>
      </c>
      <c r="D56" s="11">
        <v>7295720000000</v>
      </c>
      <c r="E56" s="11">
        <v>342724000000</v>
      </c>
      <c r="F56" s="11">
        <v>1097480000000</v>
      </c>
      <c r="G56" s="12">
        <f t="shared" si="3"/>
        <v>6540964000000</v>
      </c>
      <c r="H56" s="9">
        <f t="shared" si="4"/>
        <v>7.5613223081490736E-3</v>
      </c>
      <c r="I56" s="8">
        <f t="shared" si="2"/>
        <v>1</v>
      </c>
    </row>
    <row r="57" spans="1:9" x14ac:dyDescent="0.3">
      <c r="A57" s="6" t="s">
        <v>80</v>
      </c>
      <c r="B57" s="6" t="s">
        <v>253</v>
      </c>
      <c r="C57" s="11">
        <v>-1095270000000</v>
      </c>
      <c r="D57" s="11">
        <v>16473300000000</v>
      </c>
      <c r="E57" s="11">
        <v>2058740000000</v>
      </c>
      <c r="F57" s="11">
        <v>3033210000000</v>
      </c>
      <c r="G57" s="12">
        <f t="shared" si="3"/>
        <v>15498830000000</v>
      </c>
      <c r="H57" s="9">
        <f t="shared" si="4"/>
        <v>-7.0667914932933645E-2</v>
      </c>
      <c r="I57" s="8">
        <f t="shared" si="2"/>
        <v>0</v>
      </c>
    </row>
    <row r="58" spans="1:9" x14ac:dyDescent="0.3">
      <c r="A58" s="6" t="s">
        <v>81</v>
      </c>
      <c r="B58" s="6" t="s">
        <v>253</v>
      </c>
      <c r="C58" s="11">
        <v>1204460000000</v>
      </c>
      <c r="D58" s="11">
        <v>9039820000000</v>
      </c>
      <c r="E58" s="11">
        <v>21359800000000</v>
      </c>
      <c r="F58" s="11">
        <v>8519670000000</v>
      </c>
      <c r="G58" s="12">
        <f t="shared" si="3"/>
        <v>21879950000000</v>
      </c>
      <c r="H58" s="9">
        <f t="shared" si="4"/>
        <v>5.5048571866023459E-2</v>
      </c>
      <c r="I58" s="8">
        <f t="shared" si="2"/>
        <v>3</v>
      </c>
    </row>
    <row r="59" spans="1:9" x14ac:dyDescent="0.3">
      <c r="A59" s="6" t="s">
        <v>202</v>
      </c>
      <c r="B59" s="6" t="s">
        <v>253</v>
      </c>
      <c r="C59" s="11">
        <v>177171000000</v>
      </c>
      <c r="D59" s="11">
        <v>35074900000000</v>
      </c>
      <c r="E59" s="11">
        <v>2983297170</v>
      </c>
      <c r="F59" s="11">
        <v>337842000000</v>
      </c>
      <c r="G59" s="12">
        <f t="shared" si="3"/>
        <v>34740041297170</v>
      </c>
      <c r="H59" s="9">
        <f t="shared" si="4"/>
        <v>5.0999075816997586E-3</v>
      </c>
      <c r="I59" s="8">
        <f t="shared" si="2"/>
        <v>1</v>
      </c>
    </row>
    <row r="60" spans="1:9" x14ac:dyDescent="0.3">
      <c r="A60" s="6" t="s">
        <v>82</v>
      </c>
      <c r="B60" s="6" t="s">
        <v>253</v>
      </c>
      <c r="C60" s="11">
        <v>461759000000</v>
      </c>
      <c r="D60" s="11">
        <v>7914070000000</v>
      </c>
      <c r="E60" s="11">
        <v>339464000000</v>
      </c>
      <c r="F60" s="11">
        <v>914966000000</v>
      </c>
      <c r="G60" s="12">
        <f t="shared" si="3"/>
        <v>7338568000000</v>
      </c>
      <c r="H60" s="9">
        <f t="shared" si="4"/>
        <v>6.2922221338004902E-2</v>
      </c>
      <c r="I60" s="8">
        <f t="shared" si="2"/>
        <v>3</v>
      </c>
    </row>
    <row r="61" spans="1:9" x14ac:dyDescent="0.3">
      <c r="A61" s="6" t="s">
        <v>83</v>
      </c>
      <c r="B61" s="6" t="s">
        <v>253</v>
      </c>
      <c r="C61" s="11">
        <v>-1910300000000</v>
      </c>
      <c r="D61" s="11">
        <v>18017400000000</v>
      </c>
      <c r="E61" s="11">
        <v>3954390000000</v>
      </c>
      <c r="F61" s="11">
        <v>20697600000000</v>
      </c>
      <c r="G61" s="12">
        <f t="shared" si="3"/>
        <v>1274190000000</v>
      </c>
      <c r="H61" s="9">
        <f t="shared" si="4"/>
        <v>-1.4992269598725465</v>
      </c>
      <c r="I61" s="8">
        <f t="shared" si="2"/>
        <v>0</v>
      </c>
    </row>
    <row r="62" spans="1:9" x14ac:dyDescent="0.3">
      <c r="A62" s="6" t="s">
        <v>84</v>
      </c>
      <c r="B62" s="6" t="s">
        <v>253</v>
      </c>
      <c r="C62" s="11">
        <v>-23912493900</v>
      </c>
      <c r="D62" s="11">
        <v>7533170000000</v>
      </c>
      <c r="E62" s="11">
        <v>133959000000</v>
      </c>
      <c r="F62" s="11">
        <v>3267450000000</v>
      </c>
      <c r="G62" s="12">
        <f t="shared" si="3"/>
        <v>4399679000000</v>
      </c>
      <c r="H62" s="9">
        <f t="shared" si="4"/>
        <v>-5.4350542164553371E-3</v>
      </c>
      <c r="I62" s="8">
        <f t="shared" si="2"/>
        <v>1</v>
      </c>
    </row>
    <row r="63" spans="1:9" x14ac:dyDescent="0.3">
      <c r="A63" s="6" t="s">
        <v>86</v>
      </c>
      <c r="B63" s="6" t="s">
        <v>253</v>
      </c>
      <c r="C63" s="11">
        <v>167421000000</v>
      </c>
      <c r="D63" s="11">
        <v>41700000000000</v>
      </c>
      <c r="E63" s="11">
        <v>1283740000000</v>
      </c>
      <c r="F63" s="11">
        <v>1769030000000</v>
      </c>
      <c r="G63" s="12">
        <f t="shared" si="3"/>
        <v>41214710000000</v>
      </c>
      <c r="H63" s="9">
        <f t="shared" si="4"/>
        <v>4.0621661537834424E-3</v>
      </c>
      <c r="I63" s="8">
        <f t="shared" si="2"/>
        <v>1</v>
      </c>
    </row>
    <row r="64" spans="1:9" x14ac:dyDescent="0.3">
      <c r="A64" s="6" t="s">
        <v>87</v>
      </c>
      <c r="B64" s="6" t="s">
        <v>253</v>
      </c>
      <c r="C64" s="11">
        <v>143051000000</v>
      </c>
      <c r="D64" s="11">
        <v>7823490000000</v>
      </c>
      <c r="E64" s="11">
        <v>49371839030</v>
      </c>
      <c r="F64" s="11">
        <v>538889000000</v>
      </c>
      <c r="G64" s="12">
        <f t="shared" si="3"/>
        <v>7333972839030</v>
      </c>
      <c r="H64" s="9">
        <f t="shared" si="4"/>
        <v>1.9505253583529784E-2</v>
      </c>
      <c r="I64" s="8">
        <f t="shared" si="2"/>
        <v>2</v>
      </c>
    </row>
    <row r="65" spans="1:9" x14ac:dyDescent="0.3">
      <c r="A65" s="6" t="s">
        <v>88</v>
      </c>
      <c r="B65" s="6" t="s">
        <v>253</v>
      </c>
      <c r="C65" s="11">
        <v>3485390000000</v>
      </c>
      <c r="D65" s="11">
        <v>9405760000000</v>
      </c>
      <c r="E65" s="11">
        <v>60152700000000</v>
      </c>
      <c r="F65" s="11">
        <v>31646600000000</v>
      </c>
      <c r="G65" s="12">
        <f t="shared" si="3"/>
        <v>37911860000000</v>
      </c>
      <c r="H65" s="9">
        <f t="shared" si="4"/>
        <v>9.1934028032388815E-2</v>
      </c>
      <c r="I65" s="8">
        <f t="shared" si="2"/>
        <v>3</v>
      </c>
    </row>
    <row r="66" spans="1:9" x14ac:dyDescent="0.3">
      <c r="A66" s="6" t="s">
        <v>90</v>
      </c>
      <c r="B66" s="6" t="s">
        <v>253</v>
      </c>
      <c r="C66" s="11">
        <v>-184406000000</v>
      </c>
      <c r="D66" s="11">
        <v>6093080000000</v>
      </c>
      <c r="E66" s="11">
        <v>2157070000000</v>
      </c>
      <c r="F66" s="11">
        <v>1894200000000</v>
      </c>
      <c r="G66" s="12">
        <f t="shared" si="3"/>
        <v>6355950000000</v>
      </c>
      <c r="H66" s="9">
        <f t="shared" si="4"/>
        <v>-2.9013129429904264E-2</v>
      </c>
      <c r="I66" s="8">
        <f t="shared" si="2"/>
        <v>0</v>
      </c>
    </row>
    <row r="67" spans="1:9" x14ac:dyDescent="0.3">
      <c r="A67" s="6" t="s">
        <v>91</v>
      </c>
      <c r="B67" s="6" t="s">
        <v>253</v>
      </c>
      <c r="C67" s="11">
        <v>-562326000000</v>
      </c>
      <c r="D67" s="11">
        <v>15142400000000</v>
      </c>
      <c r="E67" s="11">
        <v>7689220000000</v>
      </c>
      <c r="F67" s="11">
        <v>3887400000000</v>
      </c>
      <c r="G67" s="12">
        <f t="shared" si="3"/>
        <v>18944220000000</v>
      </c>
      <c r="H67" s="9">
        <f t="shared" si="4"/>
        <v>-2.9683249033214353E-2</v>
      </c>
      <c r="I67" s="8">
        <f t="shared" si="2"/>
        <v>0</v>
      </c>
    </row>
    <row r="68" spans="1:9" x14ac:dyDescent="0.3">
      <c r="A68" s="6" t="s">
        <v>92</v>
      </c>
      <c r="B68" s="6" t="s">
        <v>253</v>
      </c>
      <c r="C68" s="11">
        <v>-1546660000000</v>
      </c>
      <c r="D68" s="11">
        <v>8714950000000</v>
      </c>
      <c r="E68" s="11">
        <v>14718900000000</v>
      </c>
      <c r="F68" s="11">
        <v>6000350000000</v>
      </c>
      <c r="G68" s="12">
        <f t="shared" si="3"/>
        <v>17433500000000</v>
      </c>
      <c r="H68" s="9">
        <f t="shared" si="4"/>
        <v>-8.8717698683568991E-2</v>
      </c>
      <c r="I68" s="8">
        <f t="shared" si="2"/>
        <v>0</v>
      </c>
    </row>
    <row r="69" spans="1:9" x14ac:dyDescent="0.3">
      <c r="A69" s="6" t="s">
        <v>93</v>
      </c>
      <c r="B69" s="6" t="s">
        <v>253</v>
      </c>
      <c r="C69" s="11">
        <v>375181000000</v>
      </c>
      <c r="D69" s="11">
        <v>36477600000000</v>
      </c>
      <c r="E69" s="11">
        <v>1096530000000</v>
      </c>
      <c r="F69" s="11">
        <v>2413550000000</v>
      </c>
      <c r="G69" s="12">
        <f t="shared" si="3"/>
        <v>35160580000000</v>
      </c>
      <c r="H69" s="9">
        <f t="shared" si="4"/>
        <v>1.0670500884797691E-2</v>
      </c>
      <c r="I69" s="8">
        <f t="shared" si="2"/>
        <v>1</v>
      </c>
    </row>
    <row r="70" spans="1:9" x14ac:dyDescent="0.3">
      <c r="A70" s="6" t="s">
        <v>96</v>
      </c>
      <c r="B70" s="6" t="s">
        <v>253</v>
      </c>
      <c r="C70" s="11">
        <v>445150000000</v>
      </c>
      <c r="D70" s="11">
        <v>14133600000000</v>
      </c>
      <c r="E70" s="11">
        <v>9369170000000</v>
      </c>
      <c r="F70" s="11">
        <v>7876750000000</v>
      </c>
      <c r="G70" s="12">
        <f t="shared" si="3"/>
        <v>15626020000000</v>
      </c>
      <c r="H70" s="9">
        <f t="shared" si="4"/>
        <v>2.8487740320311889E-2</v>
      </c>
      <c r="I70" s="8">
        <f t="shared" si="2"/>
        <v>2</v>
      </c>
    </row>
    <row r="71" spans="1:9" x14ac:dyDescent="0.3">
      <c r="A71" s="6" t="s">
        <v>98</v>
      </c>
      <c r="B71" s="6" t="s">
        <v>253</v>
      </c>
      <c r="C71" s="11">
        <v>1195070000000</v>
      </c>
      <c r="D71" s="11">
        <v>6808480000000</v>
      </c>
      <c r="E71" s="11">
        <v>5861710000000</v>
      </c>
      <c r="F71" s="11">
        <v>4890650000000</v>
      </c>
      <c r="G71" s="12">
        <f t="shared" si="3"/>
        <v>7779540000000</v>
      </c>
      <c r="H71" s="9">
        <f t="shared" si="4"/>
        <v>0.15361705190795344</v>
      </c>
      <c r="I71" s="8">
        <f t="shared" si="2"/>
        <v>4</v>
      </c>
    </row>
    <row r="72" spans="1:9" x14ac:dyDescent="0.3">
      <c r="A72" s="6" t="s">
        <v>99</v>
      </c>
      <c r="B72" s="6" t="s">
        <v>253</v>
      </c>
      <c r="C72" s="11">
        <v>374416000000</v>
      </c>
      <c r="D72" s="11">
        <v>3886820000000</v>
      </c>
      <c r="E72" s="11">
        <v>255003000000</v>
      </c>
      <c r="F72" s="11">
        <v>1900440000000</v>
      </c>
      <c r="G72" s="12">
        <f t="shared" si="3"/>
        <v>2241383000000</v>
      </c>
      <c r="H72" s="9">
        <f t="shared" si="4"/>
        <v>0.16704686347670167</v>
      </c>
      <c r="I72" s="8">
        <f t="shared" si="2"/>
        <v>4</v>
      </c>
    </row>
    <row r="73" spans="1:9" x14ac:dyDescent="0.3">
      <c r="A73" s="6" t="s">
        <v>100</v>
      </c>
      <c r="B73" s="6" t="s">
        <v>253</v>
      </c>
      <c r="C73" s="11">
        <v>317781000000</v>
      </c>
      <c r="D73" s="11">
        <v>4069330000000</v>
      </c>
      <c r="E73" s="11">
        <v>1416850000000</v>
      </c>
      <c r="F73" s="11">
        <v>1026340000000</v>
      </c>
      <c r="G73" s="12">
        <f t="shared" ref="G73:G104" si="5">D73+E73-F73</f>
        <v>4459840000000</v>
      </c>
      <c r="H73" s="9">
        <f t="shared" ref="H73:H104" si="6">IFERROR(IF(G73&lt;=0,-1E+99,C73/G73),NA())</f>
        <v>7.1253901485255081E-2</v>
      </c>
      <c r="I73" s="8">
        <f t="shared" si="2"/>
        <v>3</v>
      </c>
    </row>
    <row r="74" spans="1:9" x14ac:dyDescent="0.3">
      <c r="A74" s="6" t="s">
        <v>101</v>
      </c>
      <c r="B74" s="6" t="s">
        <v>253</v>
      </c>
      <c r="C74" s="11">
        <v>198865000000</v>
      </c>
      <c r="D74" s="11">
        <v>15892500000000</v>
      </c>
      <c r="E74" s="11">
        <v>103872000000</v>
      </c>
      <c r="F74" s="11">
        <v>179775000000</v>
      </c>
      <c r="G74" s="12">
        <f t="shared" si="5"/>
        <v>15816597000000</v>
      </c>
      <c r="H74" s="9">
        <f t="shared" si="6"/>
        <v>1.2573184990424931E-2</v>
      </c>
      <c r="I74" s="8">
        <f t="shared" ref="I74:I137" si="7">IFERROR(MIN(4,INT((_xlfn.RANK.AVG(H74,$H$9:$H$186,1)-1)*5/COUNT($H$9:$H$186))),NA())</f>
        <v>1</v>
      </c>
    </row>
    <row r="75" spans="1:9" x14ac:dyDescent="0.3">
      <c r="A75" s="6" t="s">
        <v>102</v>
      </c>
      <c r="B75" s="6" t="s">
        <v>253</v>
      </c>
      <c r="C75" s="11">
        <v>418075000000</v>
      </c>
      <c r="D75" s="11">
        <v>6297590000000</v>
      </c>
      <c r="E75" s="11">
        <v>655102000000</v>
      </c>
      <c r="F75" s="11">
        <v>2752170000000</v>
      </c>
      <c r="G75" s="12">
        <f t="shared" si="5"/>
        <v>4200522000000</v>
      </c>
      <c r="H75" s="9">
        <f t="shared" si="6"/>
        <v>9.9529296596946759E-2</v>
      </c>
      <c r="I75" s="8">
        <f t="shared" si="7"/>
        <v>3</v>
      </c>
    </row>
    <row r="76" spans="1:9" x14ac:dyDescent="0.3">
      <c r="A76" s="6" t="s">
        <v>103</v>
      </c>
      <c r="B76" s="6" t="s">
        <v>253</v>
      </c>
      <c r="C76" s="11">
        <v>-357172000000</v>
      </c>
      <c r="D76" s="11">
        <v>7333400000000</v>
      </c>
      <c r="E76" s="11">
        <v>7242600000000</v>
      </c>
      <c r="F76" s="11">
        <v>7985680000000</v>
      </c>
      <c r="G76" s="12">
        <f t="shared" si="5"/>
        <v>6590320000000</v>
      </c>
      <c r="H76" s="9">
        <f t="shared" si="6"/>
        <v>-5.4196457835127887E-2</v>
      </c>
      <c r="I76" s="8">
        <f t="shared" si="7"/>
        <v>0</v>
      </c>
    </row>
    <row r="77" spans="1:9" x14ac:dyDescent="0.3">
      <c r="A77" s="6" t="s">
        <v>104</v>
      </c>
      <c r="B77" s="6" t="s">
        <v>253</v>
      </c>
      <c r="C77" s="11">
        <v>1040510000000</v>
      </c>
      <c r="D77" s="11">
        <v>6901640000000</v>
      </c>
      <c r="E77" s="11">
        <v>1953810000000</v>
      </c>
      <c r="F77" s="11">
        <v>2735480000000</v>
      </c>
      <c r="G77" s="12">
        <f t="shared" si="5"/>
        <v>6119970000000</v>
      </c>
      <c r="H77" s="9">
        <f t="shared" si="6"/>
        <v>0.17001880728173505</v>
      </c>
      <c r="I77" s="8">
        <f t="shared" si="7"/>
        <v>4</v>
      </c>
    </row>
    <row r="78" spans="1:9" x14ac:dyDescent="0.3">
      <c r="A78" s="6" t="s">
        <v>106</v>
      </c>
      <c r="B78" s="6" t="s">
        <v>253</v>
      </c>
      <c r="C78" s="11">
        <v>2544010000000</v>
      </c>
      <c r="D78" s="11">
        <v>6550240000000</v>
      </c>
      <c r="E78" s="11">
        <v>19983800000000</v>
      </c>
      <c r="F78" s="11">
        <v>9874560000000</v>
      </c>
      <c r="G78" s="12">
        <f t="shared" si="5"/>
        <v>16659480000000</v>
      </c>
      <c r="H78" s="9">
        <f t="shared" si="6"/>
        <v>0.15270644701995501</v>
      </c>
      <c r="I78" s="8">
        <f t="shared" si="7"/>
        <v>4</v>
      </c>
    </row>
    <row r="79" spans="1:9" x14ac:dyDescent="0.3">
      <c r="A79" s="6" t="s">
        <v>107</v>
      </c>
      <c r="B79" s="6" t="s">
        <v>253</v>
      </c>
      <c r="C79" s="11">
        <v>1679770000000</v>
      </c>
      <c r="D79" s="11">
        <v>10407600000000</v>
      </c>
      <c r="E79" s="11">
        <v>21409755000</v>
      </c>
      <c r="F79" s="11">
        <v>5674090000000</v>
      </c>
      <c r="G79" s="12">
        <f t="shared" si="5"/>
        <v>4754919755000</v>
      </c>
      <c r="H79" s="9">
        <f t="shared" si="6"/>
        <v>0.35326989445692547</v>
      </c>
      <c r="I79" s="8">
        <f t="shared" si="7"/>
        <v>4</v>
      </c>
    </row>
    <row r="80" spans="1:9" x14ac:dyDescent="0.3">
      <c r="A80" s="6" t="s">
        <v>108</v>
      </c>
      <c r="B80" s="6" t="s">
        <v>253</v>
      </c>
      <c r="C80" s="11">
        <v>452133000000</v>
      </c>
      <c r="D80" s="11">
        <v>5677390000000</v>
      </c>
      <c r="E80" s="11">
        <v>34722459160</v>
      </c>
      <c r="F80" s="11">
        <v>1434080000000</v>
      </c>
      <c r="G80" s="12">
        <f t="shared" si="5"/>
        <v>4278032459160</v>
      </c>
      <c r="H80" s="9">
        <f t="shared" si="6"/>
        <v>0.10568713639184897</v>
      </c>
      <c r="I80" s="8">
        <f t="shared" si="7"/>
        <v>3</v>
      </c>
    </row>
    <row r="81" spans="1:9" x14ac:dyDescent="0.3">
      <c r="A81" s="6" t="s">
        <v>109</v>
      </c>
      <c r="B81" s="6" t="s">
        <v>253</v>
      </c>
      <c r="C81" s="11">
        <v>897416000000</v>
      </c>
      <c r="D81" s="11">
        <v>6130000000000</v>
      </c>
      <c r="E81" s="11">
        <v>13548200000000</v>
      </c>
      <c r="F81" s="11">
        <v>5355570000000</v>
      </c>
      <c r="G81" s="12">
        <f t="shared" si="5"/>
        <v>14322630000000</v>
      </c>
      <c r="H81" s="9">
        <f t="shared" si="6"/>
        <v>6.2657207510073226E-2</v>
      </c>
      <c r="I81" s="8">
        <f t="shared" si="7"/>
        <v>3</v>
      </c>
    </row>
    <row r="82" spans="1:9" x14ac:dyDescent="0.3">
      <c r="A82" s="6" t="s">
        <v>110</v>
      </c>
      <c r="B82" s="6" t="s">
        <v>253</v>
      </c>
      <c r="C82" s="11">
        <v>614032000000</v>
      </c>
      <c r="D82" s="11">
        <v>7609770000000</v>
      </c>
      <c r="E82" s="11">
        <v>11651000000000</v>
      </c>
      <c r="F82" s="11">
        <v>4873700000000</v>
      </c>
      <c r="G82" s="12">
        <f t="shared" si="5"/>
        <v>14387070000000</v>
      </c>
      <c r="H82" s="9">
        <f t="shared" si="6"/>
        <v>4.2679433685941612E-2</v>
      </c>
      <c r="I82" s="8">
        <f t="shared" si="7"/>
        <v>2</v>
      </c>
    </row>
    <row r="83" spans="1:9" x14ac:dyDescent="0.3">
      <c r="A83" s="6" t="s">
        <v>111</v>
      </c>
      <c r="B83" s="6" t="s">
        <v>253</v>
      </c>
      <c r="C83" s="11">
        <v>862505000000</v>
      </c>
      <c r="D83" s="11">
        <v>5678120000000</v>
      </c>
      <c r="E83" s="11">
        <v>10031600000000</v>
      </c>
      <c r="F83" s="11">
        <v>4934790000000</v>
      </c>
      <c r="G83" s="12">
        <f t="shared" si="5"/>
        <v>10774930000000</v>
      </c>
      <c r="H83" s="9">
        <f t="shared" si="6"/>
        <v>8.0047387778853313E-2</v>
      </c>
      <c r="I83" s="8">
        <f t="shared" si="7"/>
        <v>3</v>
      </c>
    </row>
    <row r="84" spans="1:9" x14ac:dyDescent="0.3">
      <c r="A84" s="6" t="s">
        <v>112</v>
      </c>
      <c r="B84" s="6" t="s">
        <v>253</v>
      </c>
      <c r="C84" s="11">
        <v>132159000000</v>
      </c>
      <c r="D84" s="11">
        <v>12354500000000</v>
      </c>
      <c r="E84" s="11">
        <v>188605000000</v>
      </c>
      <c r="F84" s="11">
        <v>2095230000000</v>
      </c>
      <c r="G84" s="12">
        <f t="shared" si="5"/>
        <v>10447875000000</v>
      </c>
      <c r="H84" s="9">
        <f t="shared" si="6"/>
        <v>1.2649366497972075E-2</v>
      </c>
      <c r="I84" s="8">
        <f t="shared" si="7"/>
        <v>1</v>
      </c>
    </row>
    <row r="85" spans="1:9" x14ac:dyDescent="0.3">
      <c r="A85" s="6" t="s">
        <v>113</v>
      </c>
      <c r="B85" s="6" t="s">
        <v>253</v>
      </c>
      <c r="C85" s="11">
        <v>127886000000</v>
      </c>
      <c r="D85" s="11">
        <v>5893060000000</v>
      </c>
      <c r="E85" s="11">
        <v>435721000000</v>
      </c>
      <c r="F85" s="11">
        <v>436419000000</v>
      </c>
      <c r="G85" s="12">
        <f t="shared" si="5"/>
        <v>5892362000000</v>
      </c>
      <c r="H85" s="9">
        <f t="shared" si="6"/>
        <v>2.170369030280217E-2</v>
      </c>
      <c r="I85" s="8">
        <f t="shared" si="7"/>
        <v>2</v>
      </c>
    </row>
    <row r="86" spans="1:9" x14ac:dyDescent="0.3">
      <c r="A86" s="6" t="s">
        <v>114</v>
      </c>
      <c r="B86" s="6" t="s">
        <v>253</v>
      </c>
      <c r="C86" s="11">
        <v>44669108140</v>
      </c>
      <c r="D86" s="11">
        <v>5827660000000</v>
      </c>
      <c r="E86" s="11">
        <v>359920000000</v>
      </c>
      <c r="F86" s="11">
        <v>1254670000000</v>
      </c>
      <c r="G86" s="12">
        <f t="shared" si="5"/>
        <v>4932910000000</v>
      </c>
      <c r="H86" s="9">
        <f t="shared" si="6"/>
        <v>9.055325992162841E-3</v>
      </c>
      <c r="I86" s="8">
        <f t="shared" si="7"/>
        <v>1</v>
      </c>
    </row>
    <row r="87" spans="1:9" x14ac:dyDescent="0.3">
      <c r="A87" s="6" t="s">
        <v>117</v>
      </c>
      <c r="B87" s="6" t="s">
        <v>253</v>
      </c>
      <c r="C87" s="11">
        <v>679162000000</v>
      </c>
      <c r="D87" s="11">
        <v>3710860000000</v>
      </c>
      <c r="E87" s="11">
        <v>12745300000000</v>
      </c>
      <c r="F87" s="11">
        <v>5942460000000</v>
      </c>
      <c r="G87" s="12">
        <f t="shared" si="5"/>
        <v>10513700000000</v>
      </c>
      <c r="H87" s="9">
        <f t="shared" si="6"/>
        <v>6.4597810475855319E-2</v>
      </c>
      <c r="I87" s="8">
        <f t="shared" si="7"/>
        <v>3</v>
      </c>
    </row>
    <row r="88" spans="1:9" x14ac:dyDescent="0.3">
      <c r="A88" s="6" t="s">
        <v>118</v>
      </c>
      <c r="B88" s="6" t="s">
        <v>253</v>
      </c>
      <c r="C88" s="11">
        <v>209967000000</v>
      </c>
      <c r="D88" s="11">
        <v>3679780000000</v>
      </c>
      <c r="E88" s="11">
        <v>53886546000</v>
      </c>
      <c r="F88" s="11">
        <v>806181000000</v>
      </c>
      <c r="G88" s="12">
        <f t="shared" si="5"/>
        <v>2927485546000</v>
      </c>
      <c r="H88" s="9">
        <f t="shared" si="6"/>
        <v>7.1722642759719374E-2</v>
      </c>
      <c r="I88" s="8">
        <f t="shared" si="7"/>
        <v>3</v>
      </c>
    </row>
    <row r="89" spans="1:9" x14ac:dyDescent="0.3">
      <c r="A89" s="6" t="s">
        <v>119</v>
      </c>
      <c r="B89" s="6" t="s">
        <v>253</v>
      </c>
      <c r="C89" s="11">
        <v>-847022000000</v>
      </c>
      <c r="D89" s="11">
        <v>4468460000000</v>
      </c>
      <c r="E89" s="11">
        <v>3580140000000</v>
      </c>
      <c r="F89" s="11">
        <v>1445190000000</v>
      </c>
      <c r="G89" s="12">
        <f t="shared" si="5"/>
        <v>6603410000000</v>
      </c>
      <c r="H89" s="9">
        <f t="shared" si="6"/>
        <v>-0.12827039362995785</v>
      </c>
      <c r="I89" s="8">
        <f t="shared" si="7"/>
        <v>0</v>
      </c>
    </row>
    <row r="90" spans="1:9" x14ac:dyDescent="0.3">
      <c r="A90" s="6" t="s">
        <v>203</v>
      </c>
      <c r="B90" s="6" t="s">
        <v>253</v>
      </c>
      <c r="C90" s="11">
        <v>-134154000000</v>
      </c>
      <c r="D90" s="11">
        <v>3377550000000</v>
      </c>
      <c r="E90" s="11">
        <v>411131000000</v>
      </c>
      <c r="F90" s="11">
        <v>713703000000</v>
      </c>
      <c r="G90" s="12">
        <f t="shared" si="5"/>
        <v>3074978000000</v>
      </c>
      <c r="H90" s="9">
        <f t="shared" si="6"/>
        <v>-4.3627629205802446E-2</v>
      </c>
      <c r="I90" s="8">
        <f t="shared" si="7"/>
        <v>0</v>
      </c>
    </row>
    <row r="91" spans="1:9" x14ac:dyDescent="0.3">
      <c r="A91" s="6" t="s">
        <v>120</v>
      </c>
      <c r="B91" s="6" t="s">
        <v>253</v>
      </c>
      <c r="C91" s="11">
        <v>1321590000000</v>
      </c>
      <c r="D91" s="11">
        <v>13561300000000</v>
      </c>
      <c r="E91" s="11">
        <v>2389440000000</v>
      </c>
      <c r="F91" s="11">
        <v>4290310000000</v>
      </c>
      <c r="G91" s="12">
        <f t="shared" si="5"/>
        <v>11660430000000</v>
      </c>
      <c r="H91" s="9">
        <f t="shared" si="6"/>
        <v>0.11333973103907832</v>
      </c>
      <c r="I91" s="8">
        <f t="shared" si="7"/>
        <v>3</v>
      </c>
    </row>
    <row r="92" spans="1:9" x14ac:dyDescent="0.3">
      <c r="A92" s="6" t="s">
        <v>121</v>
      </c>
      <c r="B92" s="6" t="s">
        <v>253</v>
      </c>
      <c r="C92" s="11">
        <v>2221360000000</v>
      </c>
      <c r="D92" s="11">
        <v>3609440000000</v>
      </c>
      <c r="E92" s="11">
        <v>36435900000000</v>
      </c>
      <c r="F92" s="11">
        <v>8307030000000</v>
      </c>
      <c r="G92" s="12">
        <f t="shared" si="5"/>
        <v>31738310000000</v>
      </c>
      <c r="H92" s="9">
        <f t="shared" si="6"/>
        <v>6.9989863984566289E-2</v>
      </c>
      <c r="I92" s="8">
        <f t="shared" si="7"/>
        <v>3</v>
      </c>
    </row>
    <row r="93" spans="1:9" x14ac:dyDescent="0.3">
      <c r="A93" s="6" t="s">
        <v>204</v>
      </c>
      <c r="B93" s="6" t="s">
        <v>253</v>
      </c>
      <c r="C93" s="11">
        <v>138010000000</v>
      </c>
      <c r="D93" s="11">
        <v>5306010000000</v>
      </c>
      <c r="E93" s="11">
        <v>2555957000</v>
      </c>
      <c r="F93" s="11">
        <v>585888000000</v>
      </c>
      <c r="G93" s="12">
        <f t="shared" si="5"/>
        <v>4722677957000</v>
      </c>
      <c r="H93" s="9">
        <f t="shared" si="6"/>
        <v>2.9222826806439388E-2</v>
      </c>
      <c r="I93" s="8">
        <f t="shared" si="7"/>
        <v>2</v>
      </c>
    </row>
    <row r="94" spans="1:9" x14ac:dyDescent="0.3">
      <c r="A94" s="6" t="s">
        <v>205</v>
      </c>
      <c r="B94" s="6" t="s">
        <v>253</v>
      </c>
      <c r="C94" s="11">
        <v>-37709719000</v>
      </c>
      <c r="D94" s="11">
        <v>7143160000000</v>
      </c>
      <c r="E94" s="11">
        <v>9394489000</v>
      </c>
      <c r="F94" s="11">
        <v>236735000000</v>
      </c>
      <c r="G94" s="12">
        <f t="shared" si="5"/>
        <v>6915819489000</v>
      </c>
      <c r="H94" s="9">
        <f t="shared" si="6"/>
        <v>-5.4526754291345271E-3</v>
      </c>
      <c r="I94" s="8">
        <f t="shared" si="7"/>
        <v>1</v>
      </c>
    </row>
    <row r="95" spans="1:9" x14ac:dyDescent="0.3">
      <c r="A95" s="6" t="s">
        <v>122</v>
      </c>
      <c r="B95" s="6" t="s">
        <v>253</v>
      </c>
      <c r="C95" s="11">
        <v>-7248335420</v>
      </c>
      <c r="D95" s="11">
        <v>11033400000000</v>
      </c>
      <c r="E95" s="11">
        <v>214988000000</v>
      </c>
      <c r="F95" s="11">
        <v>523233000000</v>
      </c>
      <c r="G95" s="12">
        <f t="shared" si="5"/>
        <v>10725155000000</v>
      </c>
      <c r="H95" s="9">
        <f t="shared" si="6"/>
        <v>-6.7582570321827518E-4</v>
      </c>
      <c r="I95" s="8">
        <f t="shared" si="7"/>
        <v>1</v>
      </c>
    </row>
    <row r="96" spans="1:9" x14ac:dyDescent="0.3">
      <c r="A96" s="6" t="s">
        <v>123</v>
      </c>
      <c r="B96" s="6" t="s">
        <v>253</v>
      </c>
      <c r="C96" s="11">
        <v>509595000000</v>
      </c>
      <c r="D96" s="11">
        <v>3688060000000</v>
      </c>
      <c r="E96" s="11">
        <v>1019860000000</v>
      </c>
      <c r="F96" s="11">
        <v>1975110000000</v>
      </c>
      <c r="G96" s="12">
        <f t="shared" si="5"/>
        <v>2732810000000</v>
      </c>
      <c r="H96" s="9">
        <f t="shared" si="6"/>
        <v>0.18647289785971216</v>
      </c>
      <c r="I96" s="8">
        <f t="shared" si="7"/>
        <v>4</v>
      </c>
    </row>
    <row r="97" spans="1:9" x14ac:dyDescent="0.3">
      <c r="A97" s="6" t="s">
        <v>124</v>
      </c>
      <c r="B97" s="6" t="s">
        <v>253</v>
      </c>
      <c r="C97" s="11">
        <v>-153372000000</v>
      </c>
      <c r="D97" s="11">
        <v>3044730000000</v>
      </c>
      <c r="E97" s="11">
        <v>9995480000000</v>
      </c>
      <c r="F97" s="11">
        <v>4365780000000</v>
      </c>
      <c r="G97" s="12">
        <f t="shared" si="5"/>
        <v>8674430000000</v>
      </c>
      <c r="H97" s="9">
        <f t="shared" si="6"/>
        <v>-1.768093119663194E-2</v>
      </c>
      <c r="I97" s="8">
        <f t="shared" si="7"/>
        <v>1</v>
      </c>
    </row>
    <row r="98" spans="1:9" x14ac:dyDescent="0.3">
      <c r="A98" s="6" t="s">
        <v>125</v>
      </c>
      <c r="B98" s="6" t="s">
        <v>253</v>
      </c>
      <c r="C98" s="11">
        <v>-305946000000</v>
      </c>
      <c r="D98" s="11">
        <v>5665870000000</v>
      </c>
      <c r="E98" s="11">
        <v>519235000000</v>
      </c>
      <c r="F98" s="11">
        <v>95499350680</v>
      </c>
      <c r="G98" s="12">
        <f t="shared" si="5"/>
        <v>6089605649320</v>
      </c>
      <c r="H98" s="9">
        <f t="shared" si="6"/>
        <v>-5.0240691699660993E-2</v>
      </c>
      <c r="I98" s="8">
        <f t="shared" si="7"/>
        <v>0</v>
      </c>
    </row>
    <row r="99" spans="1:9" x14ac:dyDescent="0.3">
      <c r="A99" s="6" t="s">
        <v>206</v>
      </c>
      <c r="B99" s="6" t="s">
        <v>253</v>
      </c>
      <c r="C99" s="11">
        <v>189838000000</v>
      </c>
      <c r="D99" s="11">
        <v>3858420000000</v>
      </c>
      <c r="E99" s="11">
        <v>996633000000</v>
      </c>
      <c r="F99" s="11">
        <v>1053820000000</v>
      </c>
      <c r="G99" s="12">
        <f t="shared" si="5"/>
        <v>3801233000000</v>
      </c>
      <c r="H99" s="9">
        <f t="shared" si="6"/>
        <v>4.9941163827631717E-2</v>
      </c>
      <c r="I99" s="8">
        <f t="shared" si="7"/>
        <v>2</v>
      </c>
    </row>
    <row r="100" spans="1:9" x14ac:dyDescent="0.3">
      <c r="A100" s="6" t="s">
        <v>126</v>
      </c>
      <c r="B100" s="6" t="s">
        <v>253</v>
      </c>
      <c r="C100" s="11">
        <v>-318444000000</v>
      </c>
      <c r="D100" s="11">
        <v>10497000000000</v>
      </c>
      <c r="E100" s="11">
        <v>827382000000</v>
      </c>
      <c r="F100" s="11">
        <v>1266210000000</v>
      </c>
      <c r="G100" s="12">
        <f t="shared" si="5"/>
        <v>10058172000000</v>
      </c>
      <c r="H100" s="9">
        <f t="shared" si="6"/>
        <v>-3.1660226132541776E-2</v>
      </c>
      <c r="I100" s="8">
        <f t="shared" si="7"/>
        <v>0</v>
      </c>
    </row>
    <row r="101" spans="1:9" x14ac:dyDescent="0.3">
      <c r="A101" s="6" t="s">
        <v>127</v>
      </c>
      <c r="B101" s="6" t="s">
        <v>253</v>
      </c>
      <c r="C101" s="11">
        <v>77853981950</v>
      </c>
      <c r="D101" s="11">
        <v>2562740000000</v>
      </c>
      <c r="E101" s="11">
        <v>355967000000</v>
      </c>
      <c r="F101" s="11">
        <v>446810000000</v>
      </c>
      <c r="G101" s="12">
        <f t="shared" si="5"/>
        <v>2471897000000</v>
      </c>
      <c r="H101" s="9">
        <f t="shared" si="6"/>
        <v>3.1495641586198775E-2</v>
      </c>
      <c r="I101" s="8">
        <f t="shared" si="7"/>
        <v>2</v>
      </c>
    </row>
    <row r="102" spans="1:9" x14ac:dyDescent="0.3">
      <c r="A102" s="6" t="s">
        <v>128</v>
      </c>
      <c r="B102" s="6" t="s">
        <v>253</v>
      </c>
      <c r="C102" s="11">
        <v>274749000000</v>
      </c>
      <c r="D102" s="11">
        <v>4931990000000</v>
      </c>
      <c r="E102" s="11">
        <v>5214340000000</v>
      </c>
      <c r="F102" s="11">
        <v>2509300000000</v>
      </c>
      <c r="G102" s="12">
        <f t="shared" si="5"/>
        <v>7637030000000</v>
      </c>
      <c r="H102" s="9">
        <f t="shared" si="6"/>
        <v>3.5975896389041293E-2</v>
      </c>
      <c r="I102" s="8">
        <f t="shared" si="7"/>
        <v>2</v>
      </c>
    </row>
    <row r="103" spans="1:9" x14ac:dyDescent="0.3">
      <c r="A103" s="6" t="s">
        <v>129</v>
      </c>
      <c r="B103" s="6" t="s">
        <v>253</v>
      </c>
      <c r="C103" s="11">
        <v>-622395000000</v>
      </c>
      <c r="D103" s="11">
        <v>4872120000000</v>
      </c>
      <c r="E103" s="11">
        <v>10376300000000</v>
      </c>
      <c r="F103" s="11">
        <v>5881250000000</v>
      </c>
      <c r="G103" s="12">
        <f t="shared" si="5"/>
        <v>9367170000000</v>
      </c>
      <c r="H103" s="9">
        <f t="shared" si="6"/>
        <v>-6.6444294274578125E-2</v>
      </c>
      <c r="I103" s="8">
        <f t="shared" si="7"/>
        <v>0</v>
      </c>
    </row>
    <row r="104" spans="1:9" x14ac:dyDescent="0.3">
      <c r="A104" s="6" t="s">
        <v>131</v>
      </c>
      <c r="B104" s="6" t="s">
        <v>253</v>
      </c>
      <c r="C104" s="11">
        <v>26016177440</v>
      </c>
      <c r="D104" s="11">
        <v>7208290000000</v>
      </c>
      <c r="E104" s="11">
        <v>1429079000</v>
      </c>
      <c r="F104" s="11">
        <v>401894000000</v>
      </c>
      <c r="G104" s="12">
        <f t="shared" si="5"/>
        <v>6807825079000</v>
      </c>
      <c r="H104" s="9">
        <f t="shared" si="6"/>
        <v>3.8215108552438763E-3</v>
      </c>
      <c r="I104" s="8">
        <f t="shared" si="7"/>
        <v>1</v>
      </c>
    </row>
    <row r="105" spans="1:9" x14ac:dyDescent="0.3">
      <c r="A105" s="6" t="s">
        <v>132</v>
      </c>
      <c r="B105" s="6" t="s">
        <v>253</v>
      </c>
      <c r="C105" s="11">
        <v>-54031482740</v>
      </c>
      <c r="D105" s="11">
        <v>2389070000000</v>
      </c>
      <c r="E105" s="11">
        <v>915813000000</v>
      </c>
      <c r="F105" s="11">
        <v>694945000000</v>
      </c>
      <c r="G105" s="12">
        <f t="shared" ref="G105:G136" si="8">D105+E105-F105</f>
        <v>2609938000000</v>
      </c>
      <c r="H105" s="9">
        <f t="shared" ref="H105:H136" si="9">IFERROR(IF(G105&lt;=0,-1E+99,C105/G105),NA())</f>
        <v>-2.0702209301523639E-2</v>
      </c>
      <c r="I105" s="8">
        <f t="shared" si="7"/>
        <v>0</v>
      </c>
    </row>
    <row r="106" spans="1:9" x14ac:dyDescent="0.3">
      <c r="A106" s="6" t="s">
        <v>207</v>
      </c>
      <c r="B106" s="6" t="s">
        <v>253</v>
      </c>
      <c r="C106" s="11">
        <v>56680904260</v>
      </c>
      <c r="D106" s="11">
        <v>2578360000000</v>
      </c>
      <c r="E106" s="11">
        <v>227407000000</v>
      </c>
      <c r="F106" s="11">
        <v>211992000000</v>
      </c>
      <c r="G106" s="12">
        <f t="shared" si="8"/>
        <v>2593775000000</v>
      </c>
      <c r="H106" s="9">
        <f t="shared" si="9"/>
        <v>2.1852668122716891E-2</v>
      </c>
      <c r="I106" s="8">
        <f t="shared" si="7"/>
        <v>2</v>
      </c>
    </row>
    <row r="107" spans="1:9" x14ac:dyDescent="0.3">
      <c r="A107" s="6" t="s">
        <v>133</v>
      </c>
      <c r="B107" s="6" t="s">
        <v>253</v>
      </c>
      <c r="C107" s="11">
        <v>401735000000</v>
      </c>
      <c r="D107" s="11">
        <v>3673420000000</v>
      </c>
      <c r="E107" s="11">
        <v>552988000000</v>
      </c>
      <c r="F107" s="11">
        <v>2373840000000</v>
      </c>
      <c r="G107" s="12">
        <f t="shared" si="8"/>
        <v>1852568000000</v>
      </c>
      <c r="H107" s="9">
        <f t="shared" si="9"/>
        <v>0.21685303859291535</v>
      </c>
      <c r="I107" s="8">
        <f t="shared" si="7"/>
        <v>4</v>
      </c>
    </row>
    <row r="108" spans="1:9" x14ac:dyDescent="0.3">
      <c r="A108" s="6" t="s">
        <v>208</v>
      </c>
      <c r="B108" s="6" t="s">
        <v>253</v>
      </c>
      <c r="C108" s="11">
        <v>99236300950</v>
      </c>
      <c r="D108" s="11">
        <v>2661990000000</v>
      </c>
      <c r="E108" s="11">
        <v>3333735050</v>
      </c>
      <c r="F108" s="11">
        <v>718996000000</v>
      </c>
      <c r="G108" s="12">
        <f t="shared" si="8"/>
        <v>1946327735050</v>
      </c>
      <c r="H108" s="9">
        <f t="shared" si="9"/>
        <v>5.098642903912104E-2</v>
      </c>
      <c r="I108" s="8">
        <f t="shared" si="7"/>
        <v>2</v>
      </c>
    </row>
    <row r="109" spans="1:9" x14ac:dyDescent="0.3">
      <c r="A109" s="6" t="s">
        <v>134</v>
      </c>
      <c r="B109" s="6" t="s">
        <v>253</v>
      </c>
      <c r="C109" s="11">
        <v>179131000000</v>
      </c>
      <c r="D109" s="11">
        <v>3271730000000</v>
      </c>
      <c r="E109" s="11">
        <v>55353561490</v>
      </c>
      <c r="F109" s="11">
        <v>1190700000000</v>
      </c>
      <c r="G109" s="12">
        <f t="shared" si="8"/>
        <v>2136383561490</v>
      </c>
      <c r="H109" s="9">
        <f t="shared" si="9"/>
        <v>8.3847771172264038E-2</v>
      </c>
      <c r="I109" s="8">
        <f t="shared" si="7"/>
        <v>3</v>
      </c>
    </row>
    <row r="110" spans="1:9" x14ac:dyDescent="0.3">
      <c r="A110" s="6" t="s">
        <v>135</v>
      </c>
      <c r="B110" s="6" t="s">
        <v>253</v>
      </c>
      <c r="C110" s="11">
        <v>210298000000</v>
      </c>
      <c r="D110" s="11">
        <v>2296200000000</v>
      </c>
      <c r="E110" s="11">
        <v>175765000000</v>
      </c>
      <c r="F110" s="11">
        <v>1305780000000</v>
      </c>
      <c r="G110" s="12">
        <f t="shared" si="8"/>
        <v>1166185000000</v>
      </c>
      <c r="H110" s="9">
        <f t="shared" si="9"/>
        <v>0.18032987905006495</v>
      </c>
      <c r="I110" s="8">
        <f t="shared" si="7"/>
        <v>4</v>
      </c>
    </row>
    <row r="111" spans="1:9" x14ac:dyDescent="0.3">
      <c r="A111" s="6" t="s">
        <v>136</v>
      </c>
      <c r="B111" s="6" t="s">
        <v>253</v>
      </c>
      <c r="C111" s="11">
        <v>-219503000000</v>
      </c>
      <c r="D111" s="11">
        <v>2780010000000</v>
      </c>
      <c r="E111" s="11">
        <v>979390000000</v>
      </c>
      <c r="F111" s="11">
        <v>1074570000000</v>
      </c>
      <c r="G111" s="12">
        <f t="shared" si="8"/>
        <v>2684830000000</v>
      </c>
      <c r="H111" s="9">
        <f t="shared" si="9"/>
        <v>-8.1756759273399066E-2</v>
      </c>
      <c r="I111" s="8">
        <f t="shared" si="7"/>
        <v>0</v>
      </c>
    </row>
    <row r="112" spans="1:9" x14ac:dyDescent="0.3">
      <c r="A112" s="6" t="s">
        <v>137</v>
      </c>
      <c r="B112" s="6" t="s">
        <v>253</v>
      </c>
      <c r="C112" s="11">
        <v>296818000000</v>
      </c>
      <c r="D112" s="11">
        <v>7343350000000</v>
      </c>
      <c r="E112" s="11">
        <v>81837361790</v>
      </c>
      <c r="F112" s="11">
        <v>567444000000</v>
      </c>
      <c r="G112" s="12">
        <f t="shared" si="8"/>
        <v>6857743361790</v>
      </c>
      <c r="H112" s="9">
        <f t="shared" si="9"/>
        <v>4.3282167958312884E-2</v>
      </c>
      <c r="I112" s="8">
        <f t="shared" si="7"/>
        <v>2</v>
      </c>
    </row>
    <row r="113" spans="1:9" x14ac:dyDescent="0.3">
      <c r="A113" s="6" t="s">
        <v>138</v>
      </c>
      <c r="B113" s="6" t="s">
        <v>253</v>
      </c>
      <c r="C113" s="11">
        <v>853499000000</v>
      </c>
      <c r="D113" s="11">
        <v>2944470000000</v>
      </c>
      <c r="E113" s="11">
        <v>11956700000000</v>
      </c>
      <c r="F113" s="11">
        <v>3804530000000</v>
      </c>
      <c r="G113" s="12">
        <f t="shared" si="8"/>
        <v>11096640000000</v>
      </c>
      <c r="H113" s="9">
        <f t="shared" si="9"/>
        <v>7.6915084205669462E-2</v>
      </c>
      <c r="I113" s="8">
        <f t="shared" si="7"/>
        <v>3</v>
      </c>
    </row>
    <row r="114" spans="1:9" x14ac:dyDescent="0.3">
      <c r="A114" s="6" t="s">
        <v>209</v>
      </c>
      <c r="B114" s="6" t="s">
        <v>253</v>
      </c>
      <c r="C114" s="11">
        <v>496529000000</v>
      </c>
      <c r="D114" s="11">
        <v>2129360000000</v>
      </c>
      <c r="E114" s="11">
        <v>349016000000</v>
      </c>
      <c r="F114" s="11">
        <v>1071250000000</v>
      </c>
      <c r="G114" s="12">
        <f t="shared" si="8"/>
        <v>1407126000000</v>
      </c>
      <c r="H114" s="9">
        <f t="shared" si="9"/>
        <v>0.35286747597585433</v>
      </c>
      <c r="I114" s="8">
        <f t="shared" si="7"/>
        <v>4</v>
      </c>
    </row>
    <row r="115" spans="1:9" x14ac:dyDescent="0.3">
      <c r="A115" s="6" t="s">
        <v>140</v>
      </c>
      <c r="B115" s="6" t="s">
        <v>253</v>
      </c>
      <c r="C115" s="11">
        <v>247631000000</v>
      </c>
      <c r="D115" s="11">
        <v>2306580000000</v>
      </c>
      <c r="E115" s="11">
        <v>351113000000</v>
      </c>
      <c r="F115" s="11">
        <v>2639290000000</v>
      </c>
      <c r="G115" s="12">
        <f t="shared" si="8"/>
        <v>18403000000</v>
      </c>
      <c r="H115" s="9">
        <f t="shared" si="9"/>
        <v>13.456012606640222</v>
      </c>
      <c r="I115" s="8">
        <f t="shared" si="7"/>
        <v>4</v>
      </c>
    </row>
    <row r="116" spans="1:9" x14ac:dyDescent="0.3">
      <c r="A116" s="6" t="s">
        <v>141</v>
      </c>
      <c r="B116" s="6" t="s">
        <v>253</v>
      </c>
      <c r="C116" s="11">
        <v>797650000000</v>
      </c>
      <c r="D116" s="11">
        <v>3827470000000</v>
      </c>
      <c r="E116" s="11">
        <v>14378900000000</v>
      </c>
      <c r="F116" s="11">
        <v>3503960000000</v>
      </c>
      <c r="G116" s="12">
        <f t="shared" si="8"/>
        <v>14702410000000</v>
      </c>
      <c r="H116" s="9">
        <f t="shared" si="9"/>
        <v>5.4253010220773328E-2</v>
      </c>
      <c r="I116" s="8">
        <f t="shared" si="7"/>
        <v>3</v>
      </c>
    </row>
    <row r="117" spans="1:9" x14ac:dyDescent="0.3">
      <c r="A117" s="6" t="s">
        <v>142</v>
      </c>
      <c r="B117" s="6" t="s">
        <v>253</v>
      </c>
      <c r="C117" s="11">
        <v>90019471490</v>
      </c>
      <c r="D117" s="11">
        <v>2093770000000</v>
      </c>
      <c r="E117" s="11">
        <v>1210070000000</v>
      </c>
      <c r="F117" s="11">
        <v>698689000000</v>
      </c>
      <c r="G117" s="12">
        <f t="shared" si="8"/>
        <v>2605151000000</v>
      </c>
      <c r="H117" s="9">
        <f t="shared" si="9"/>
        <v>3.4554416035769135E-2</v>
      </c>
      <c r="I117" s="8">
        <f t="shared" si="7"/>
        <v>2</v>
      </c>
    </row>
    <row r="118" spans="1:9" x14ac:dyDescent="0.3">
      <c r="A118" s="6" t="s">
        <v>143</v>
      </c>
      <c r="B118" s="6" t="s">
        <v>253</v>
      </c>
      <c r="C118" s="11">
        <v>533652000000</v>
      </c>
      <c r="D118" s="11">
        <v>3019470000000</v>
      </c>
      <c r="E118" s="11">
        <v>1201920000000</v>
      </c>
      <c r="F118" s="11">
        <v>1112220000000</v>
      </c>
      <c r="G118" s="12">
        <f t="shared" si="8"/>
        <v>3109170000000</v>
      </c>
      <c r="H118" s="9">
        <f t="shared" si="9"/>
        <v>0.17163808990823917</v>
      </c>
      <c r="I118" s="8">
        <f t="shared" si="7"/>
        <v>4</v>
      </c>
    </row>
    <row r="119" spans="1:9" x14ac:dyDescent="0.3">
      <c r="A119" s="6" t="s">
        <v>144</v>
      </c>
      <c r="B119" s="6" t="s">
        <v>253</v>
      </c>
      <c r="C119" s="11">
        <v>279101000000</v>
      </c>
      <c r="D119" s="11">
        <v>2155530000000</v>
      </c>
      <c r="E119" s="11">
        <v>1574960000000</v>
      </c>
      <c r="F119" s="11">
        <v>1499370000000</v>
      </c>
      <c r="G119" s="12">
        <f t="shared" si="8"/>
        <v>2231120000000</v>
      </c>
      <c r="H119" s="9">
        <f t="shared" si="9"/>
        <v>0.12509457133636917</v>
      </c>
      <c r="I119" s="8">
        <f t="shared" si="7"/>
        <v>4</v>
      </c>
    </row>
    <row r="120" spans="1:9" x14ac:dyDescent="0.3">
      <c r="A120" s="6" t="s">
        <v>145</v>
      </c>
      <c r="B120" s="6" t="s">
        <v>253</v>
      </c>
      <c r="C120" s="11">
        <v>-148795000000</v>
      </c>
      <c r="D120" s="11">
        <v>4341090000000</v>
      </c>
      <c r="E120" s="11">
        <v>4731830000000</v>
      </c>
      <c r="F120" s="11">
        <v>2929890000000</v>
      </c>
      <c r="G120" s="12">
        <f t="shared" si="8"/>
        <v>6143030000000</v>
      </c>
      <c r="H120" s="9">
        <f t="shared" si="9"/>
        <v>-2.4221760271397014E-2</v>
      </c>
      <c r="I120" s="8">
        <f t="shared" si="7"/>
        <v>0</v>
      </c>
    </row>
    <row r="121" spans="1:9" x14ac:dyDescent="0.3">
      <c r="A121" s="6" t="s">
        <v>146</v>
      </c>
      <c r="B121" s="6" t="s">
        <v>253</v>
      </c>
      <c r="C121" s="11">
        <v>28324156810</v>
      </c>
      <c r="D121" s="11">
        <v>8143820000000</v>
      </c>
      <c r="E121" s="11">
        <v>1129095000</v>
      </c>
      <c r="F121" s="11">
        <v>274455000000</v>
      </c>
      <c r="G121" s="12">
        <f t="shared" si="8"/>
        <v>7870494095000</v>
      </c>
      <c r="H121" s="9">
        <f t="shared" si="9"/>
        <v>3.5987774678585792E-3</v>
      </c>
      <c r="I121" s="8">
        <f t="shared" si="7"/>
        <v>1</v>
      </c>
    </row>
    <row r="122" spans="1:9" x14ac:dyDescent="0.3">
      <c r="A122" s="6" t="s">
        <v>147</v>
      </c>
      <c r="B122" s="6" t="s">
        <v>253</v>
      </c>
      <c r="C122" s="11">
        <v>-143577000000</v>
      </c>
      <c r="D122" s="11">
        <v>3256380000000</v>
      </c>
      <c r="E122" s="11">
        <v>6361060000000</v>
      </c>
      <c r="F122" s="11">
        <v>6656810000000</v>
      </c>
      <c r="G122" s="12">
        <f t="shared" si="8"/>
        <v>2960630000000</v>
      </c>
      <c r="H122" s="9">
        <f t="shared" si="9"/>
        <v>-4.8495421582568574E-2</v>
      </c>
      <c r="I122" s="8">
        <f t="shared" si="7"/>
        <v>0</v>
      </c>
    </row>
    <row r="123" spans="1:9" x14ac:dyDescent="0.3">
      <c r="A123" s="6" t="s">
        <v>148</v>
      </c>
      <c r="B123" s="6" t="s">
        <v>253</v>
      </c>
      <c r="C123" s="11">
        <v>94469306000</v>
      </c>
      <c r="D123" s="11">
        <v>2570750000000</v>
      </c>
      <c r="E123" s="11">
        <v>1690600000000</v>
      </c>
      <c r="F123" s="11">
        <v>906078000000</v>
      </c>
      <c r="G123" s="12">
        <f t="shared" si="8"/>
        <v>3355272000000</v>
      </c>
      <c r="H123" s="9">
        <f t="shared" si="9"/>
        <v>2.8155483668686174E-2</v>
      </c>
      <c r="I123" s="8">
        <f t="shared" si="7"/>
        <v>2</v>
      </c>
    </row>
    <row r="124" spans="1:9" x14ac:dyDescent="0.3">
      <c r="A124" s="6" t="s">
        <v>149</v>
      </c>
      <c r="B124" s="6" t="s">
        <v>253</v>
      </c>
      <c r="C124" s="11">
        <v>643240000000</v>
      </c>
      <c r="D124" s="11">
        <v>2281480000000</v>
      </c>
      <c r="E124" s="11">
        <v>1446020000000</v>
      </c>
      <c r="F124" s="11">
        <v>705937000000</v>
      </c>
      <c r="G124" s="12">
        <f t="shared" si="8"/>
        <v>3021563000000</v>
      </c>
      <c r="H124" s="9">
        <f t="shared" si="9"/>
        <v>0.21288319985385049</v>
      </c>
      <c r="I124" s="8">
        <f t="shared" si="7"/>
        <v>4</v>
      </c>
    </row>
    <row r="125" spans="1:9" x14ac:dyDescent="0.3">
      <c r="A125" s="6" t="s">
        <v>150</v>
      </c>
      <c r="B125" s="6" t="s">
        <v>253</v>
      </c>
      <c r="C125" s="11">
        <v>518115000000</v>
      </c>
      <c r="D125" s="11">
        <v>2961520000000</v>
      </c>
      <c r="E125" s="11">
        <v>4325320000000</v>
      </c>
      <c r="F125" s="11">
        <v>1304290000000</v>
      </c>
      <c r="G125" s="12">
        <f t="shared" si="8"/>
        <v>5982550000000</v>
      </c>
      <c r="H125" s="9">
        <f t="shared" si="9"/>
        <v>8.6604374388847563E-2</v>
      </c>
      <c r="I125" s="8">
        <f t="shared" si="7"/>
        <v>3</v>
      </c>
    </row>
    <row r="126" spans="1:9" x14ac:dyDescent="0.3">
      <c r="A126" s="6" t="s">
        <v>151</v>
      </c>
      <c r="B126" s="6" t="s">
        <v>253</v>
      </c>
      <c r="C126" s="11">
        <v>414772000000</v>
      </c>
      <c r="D126" s="11">
        <v>2306330000000</v>
      </c>
      <c r="E126" s="11">
        <v>3994130000000</v>
      </c>
      <c r="F126" s="11">
        <v>2541720000000</v>
      </c>
      <c r="G126" s="12">
        <f t="shared" si="8"/>
        <v>3758740000000</v>
      </c>
      <c r="H126" s="9">
        <f t="shared" si="9"/>
        <v>0.11034868067490701</v>
      </c>
      <c r="I126" s="8">
        <f t="shared" si="7"/>
        <v>3</v>
      </c>
    </row>
    <row r="127" spans="1:9" x14ac:dyDescent="0.3">
      <c r="A127" s="6" t="s">
        <v>152</v>
      </c>
      <c r="B127" s="6" t="s">
        <v>253</v>
      </c>
      <c r="C127" s="11">
        <v>135754000000</v>
      </c>
      <c r="D127" s="11">
        <v>2799000000000</v>
      </c>
      <c r="E127" s="11">
        <v>11795685000</v>
      </c>
      <c r="F127" s="11">
        <v>981840000000</v>
      </c>
      <c r="G127" s="12">
        <f t="shared" si="8"/>
        <v>1828955685000</v>
      </c>
      <c r="H127" s="9">
        <f t="shared" si="9"/>
        <v>7.4224871118186764E-2</v>
      </c>
      <c r="I127" s="8">
        <f t="shared" si="7"/>
        <v>3</v>
      </c>
    </row>
    <row r="128" spans="1:9" x14ac:dyDescent="0.3">
      <c r="A128" s="6" t="s">
        <v>153</v>
      </c>
      <c r="B128" s="6" t="s">
        <v>253</v>
      </c>
      <c r="C128" s="11">
        <v>42872781750</v>
      </c>
      <c r="D128" s="11">
        <v>3830670000000</v>
      </c>
      <c r="E128" s="11">
        <v>1225910000000</v>
      </c>
      <c r="F128" s="11">
        <v>4514860000000</v>
      </c>
      <c r="G128" s="12">
        <f t="shared" si="8"/>
        <v>541720000000</v>
      </c>
      <c r="H128" s="9">
        <f t="shared" si="9"/>
        <v>7.9141958484087727E-2</v>
      </c>
      <c r="I128" s="8">
        <f t="shared" si="7"/>
        <v>3</v>
      </c>
    </row>
    <row r="129" spans="1:9" x14ac:dyDescent="0.3">
      <c r="A129" s="6" t="s">
        <v>154</v>
      </c>
      <c r="B129" s="6" t="s">
        <v>253</v>
      </c>
      <c r="C129" s="11">
        <v>102692000000</v>
      </c>
      <c r="D129" s="11">
        <v>1701900000000</v>
      </c>
      <c r="E129" s="11">
        <v>2759580000000</v>
      </c>
      <c r="F129" s="11">
        <v>2117650000000</v>
      </c>
      <c r="G129" s="12">
        <f t="shared" si="8"/>
        <v>2343830000000</v>
      </c>
      <c r="H129" s="9">
        <f t="shared" si="9"/>
        <v>4.3813757823732952E-2</v>
      </c>
      <c r="I129" s="8">
        <f t="shared" si="7"/>
        <v>2</v>
      </c>
    </row>
    <row r="130" spans="1:9" x14ac:dyDescent="0.3">
      <c r="A130" s="6" t="s">
        <v>156</v>
      </c>
      <c r="B130" s="6" t="s">
        <v>253</v>
      </c>
      <c r="C130" s="11">
        <v>-19014573460</v>
      </c>
      <c r="D130" s="11">
        <v>1718290000000</v>
      </c>
      <c r="E130" s="11">
        <v>828079000000</v>
      </c>
      <c r="F130" s="11">
        <v>469790000000</v>
      </c>
      <c r="G130" s="12">
        <f t="shared" si="8"/>
        <v>2076579000000</v>
      </c>
      <c r="H130" s="9">
        <f t="shared" si="9"/>
        <v>-9.1566819562366765E-3</v>
      </c>
      <c r="I130" s="8">
        <f t="shared" si="7"/>
        <v>1</v>
      </c>
    </row>
    <row r="131" spans="1:9" x14ac:dyDescent="0.3">
      <c r="A131" s="6" t="s">
        <v>157</v>
      </c>
      <c r="B131" s="6" t="s">
        <v>253</v>
      </c>
      <c r="C131" s="11">
        <v>-54595982940</v>
      </c>
      <c r="D131" s="11">
        <v>14381800000000</v>
      </c>
      <c r="E131" s="11">
        <v>4756360000000</v>
      </c>
      <c r="F131" s="11">
        <v>8340450000000</v>
      </c>
      <c r="G131" s="12">
        <f t="shared" si="8"/>
        <v>10797710000000</v>
      </c>
      <c r="H131" s="9">
        <f t="shared" si="9"/>
        <v>-5.0562557190367216E-3</v>
      </c>
      <c r="I131" s="8">
        <f t="shared" si="7"/>
        <v>1</v>
      </c>
    </row>
    <row r="132" spans="1:9" x14ac:dyDescent="0.3">
      <c r="A132" s="6" t="s">
        <v>158</v>
      </c>
      <c r="B132" s="6" t="s">
        <v>253</v>
      </c>
      <c r="C132" s="11">
        <v>-44335235430</v>
      </c>
      <c r="D132" s="11">
        <v>7875370000000</v>
      </c>
      <c r="E132" s="11">
        <v>1727580000000</v>
      </c>
      <c r="F132" s="11">
        <v>649163000000</v>
      </c>
      <c r="G132" s="12">
        <f t="shared" si="8"/>
        <v>8953787000000</v>
      </c>
      <c r="H132" s="9">
        <f t="shared" si="9"/>
        <v>-4.9515624427965508E-3</v>
      </c>
      <c r="I132" s="8">
        <f t="shared" si="7"/>
        <v>1</v>
      </c>
    </row>
    <row r="133" spans="1:9" x14ac:dyDescent="0.3">
      <c r="A133" s="6" t="s">
        <v>159</v>
      </c>
      <c r="B133" s="6" t="s">
        <v>253</v>
      </c>
      <c r="C133" s="11">
        <v>115197000000</v>
      </c>
      <c r="D133" s="11">
        <v>3240510000000</v>
      </c>
      <c r="E133" s="11">
        <v>276248000000</v>
      </c>
      <c r="F133" s="11">
        <v>245901000000</v>
      </c>
      <c r="G133" s="12">
        <f t="shared" si="8"/>
        <v>3270857000000</v>
      </c>
      <c r="H133" s="9">
        <f t="shared" si="9"/>
        <v>3.5219210133613302E-2</v>
      </c>
      <c r="I133" s="8">
        <f t="shared" si="7"/>
        <v>2</v>
      </c>
    </row>
    <row r="134" spans="1:9" x14ac:dyDescent="0.3">
      <c r="A134" s="6" t="s">
        <v>160</v>
      </c>
      <c r="B134" s="6" t="s">
        <v>253</v>
      </c>
      <c r="C134" s="11">
        <v>248789000000</v>
      </c>
      <c r="D134" s="11">
        <v>2368630000000</v>
      </c>
      <c r="E134" s="11">
        <v>94222299000</v>
      </c>
      <c r="F134" s="11">
        <v>356506000000</v>
      </c>
      <c r="G134" s="12">
        <f t="shared" si="8"/>
        <v>2106346299000</v>
      </c>
      <c r="H134" s="9">
        <f t="shared" si="9"/>
        <v>0.1181140062857252</v>
      </c>
      <c r="I134" s="8">
        <f t="shared" si="7"/>
        <v>4</v>
      </c>
    </row>
    <row r="135" spans="1:9" x14ac:dyDescent="0.3">
      <c r="A135" s="6" t="s">
        <v>210</v>
      </c>
      <c r="B135" s="6" t="s">
        <v>253</v>
      </c>
      <c r="C135" s="11">
        <v>527480000000</v>
      </c>
      <c r="D135" s="11">
        <v>2807840000000</v>
      </c>
      <c r="E135" s="11">
        <v>506069000000</v>
      </c>
      <c r="F135" s="11">
        <v>2884120000000</v>
      </c>
      <c r="G135" s="12">
        <f t="shared" si="8"/>
        <v>429789000000</v>
      </c>
      <c r="H135" s="9">
        <f t="shared" si="9"/>
        <v>1.2272999076290925</v>
      </c>
      <c r="I135" s="8">
        <f t="shared" si="7"/>
        <v>4</v>
      </c>
    </row>
    <row r="136" spans="1:9" x14ac:dyDescent="0.3">
      <c r="A136" s="6" t="s">
        <v>161</v>
      </c>
      <c r="B136" s="6" t="s">
        <v>253</v>
      </c>
      <c r="C136" s="11">
        <v>348499000000</v>
      </c>
      <c r="D136" s="11">
        <v>3844190000000</v>
      </c>
      <c r="E136" s="11">
        <v>5175830000000</v>
      </c>
      <c r="F136" s="11">
        <v>1335620000000</v>
      </c>
      <c r="G136" s="12">
        <f t="shared" si="8"/>
        <v>7684400000000</v>
      </c>
      <c r="H136" s="9">
        <f t="shared" si="9"/>
        <v>4.5351491333090417E-2</v>
      </c>
      <c r="I136" s="8">
        <f t="shared" si="7"/>
        <v>2</v>
      </c>
    </row>
    <row r="137" spans="1:9" x14ac:dyDescent="0.3">
      <c r="A137" s="6" t="s">
        <v>162</v>
      </c>
      <c r="B137" s="6" t="s">
        <v>253</v>
      </c>
      <c r="C137" s="11">
        <v>-209636000000</v>
      </c>
      <c r="D137" s="11">
        <v>2159180000000</v>
      </c>
      <c r="E137" s="11">
        <v>1681170000000</v>
      </c>
      <c r="F137" s="11">
        <v>594358000000</v>
      </c>
      <c r="G137" s="12">
        <f t="shared" ref="G137:G168" si="10">D137+E137-F137</f>
        <v>3245992000000</v>
      </c>
      <c r="H137" s="9">
        <f t="shared" ref="H137:H168" si="11">IFERROR(IF(G137&lt;=0,-1E+99,C137/G137),NA())</f>
        <v>-6.4583030395638688E-2</v>
      </c>
      <c r="I137" s="8">
        <f t="shared" si="7"/>
        <v>0</v>
      </c>
    </row>
    <row r="138" spans="1:9" x14ac:dyDescent="0.3">
      <c r="A138" s="6" t="s">
        <v>163</v>
      </c>
      <c r="B138" s="6" t="s">
        <v>253</v>
      </c>
      <c r="C138" s="11">
        <v>313120000000</v>
      </c>
      <c r="D138" s="11">
        <v>2464280000000</v>
      </c>
      <c r="E138" s="11">
        <v>2720400000000</v>
      </c>
      <c r="F138" s="11">
        <v>1313850000000</v>
      </c>
      <c r="G138" s="12">
        <f t="shared" si="10"/>
        <v>3870830000000</v>
      </c>
      <c r="H138" s="9">
        <f t="shared" si="11"/>
        <v>8.0892211747868023E-2</v>
      </c>
      <c r="I138" s="8">
        <f t="shared" ref="I138:I186" si="12">IFERROR(MIN(4,INT((_xlfn.RANK.AVG(H138,$H$9:$H$186,1)-1)*5/COUNT($H$9:$H$186))),NA())</f>
        <v>3</v>
      </c>
    </row>
    <row r="139" spans="1:9" x14ac:dyDescent="0.3">
      <c r="A139" s="6" t="s">
        <v>164</v>
      </c>
      <c r="B139" s="6" t="s">
        <v>253</v>
      </c>
      <c r="C139" s="11">
        <v>272159000000</v>
      </c>
      <c r="D139" s="11">
        <v>2681250000000</v>
      </c>
      <c r="E139" s="11">
        <v>2266590000000</v>
      </c>
      <c r="F139" s="11">
        <v>2759510000000</v>
      </c>
      <c r="G139" s="12">
        <f t="shared" si="10"/>
        <v>2188330000000</v>
      </c>
      <c r="H139" s="9">
        <f t="shared" si="11"/>
        <v>0.12436835395027258</v>
      </c>
      <c r="I139" s="8">
        <f t="shared" si="12"/>
        <v>4</v>
      </c>
    </row>
    <row r="140" spans="1:9" x14ac:dyDescent="0.3">
      <c r="A140" s="6" t="s">
        <v>211</v>
      </c>
      <c r="B140" s="6" t="s">
        <v>253</v>
      </c>
      <c r="C140" s="11">
        <v>16966999790</v>
      </c>
      <c r="D140" s="11">
        <v>1464860000000</v>
      </c>
      <c r="E140" s="11">
        <v>830349000000</v>
      </c>
      <c r="F140" s="11">
        <v>698061000000</v>
      </c>
      <c r="G140" s="12">
        <f t="shared" si="10"/>
        <v>1597148000000</v>
      </c>
      <c r="H140" s="9">
        <f t="shared" si="11"/>
        <v>1.062331092046573E-2</v>
      </c>
      <c r="I140" s="8">
        <f t="shared" si="12"/>
        <v>1</v>
      </c>
    </row>
    <row r="141" spans="1:9" x14ac:dyDescent="0.3">
      <c r="A141" s="6" t="s">
        <v>165</v>
      </c>
      <c r="B141" s="6" t="s">
        <v>253</v>
      </c>
      <c r="C141" s="11">
        <v>36082412490</v>
      </c>
      <c r="D141" s="11">
        <v>1602220000000</v>
      </c>
      <c r="E141" s="11">
        <v>1022920000000</v>
      </c>
      <c r="F141" s="11">
        <v>640619000000</v>
      </c>
      <c r="G141" s="12">
        <f t="shared" si="10"/>
        <v>1984521000000</v>
      </c>
      <c r="H141" s="9">
        <f t="shared" si="11"/>
        <v>1.8181925255515059E-2</v>
      </c>
      <c r="I141" s="8">
        <f t="shared" si="12"/>
        <v>2</v>
      </c>
    </row>
    <row r="142" spans="1:9" x14ac:dyDescent="0.3">
      <c r="A142" s="6" t="s">
        <v>212</v>
      </c>
      <c r="B142" s="6" t="s">
        <v>253</v>
      </c>
      <c r="C142" s="11">
        <v>-30718286370</v>
      </c>
      <c r="D142" s="11">
        <v>1311100000000</v>
      </c>
      <c r="E142" s="11">
        <v>842241000000</v>
      </c>
      <c r="F142" s="11">
        <v>610347000000</v>
      </c>
      <c r="G142" s="12">
        <f t="shared" si="10"/>
        <v>1542994000000</v>
      </c>
      <c r="H142" s="9">
        <f t="shared" si="11"/>
        <v>-1.9908234490866459E-2</v>
      </c>
      <c r="I142" s="8">
        <f t="shared" si="12"/>
        <v>0</v>
      </c>
    </row>
    <row r="143" spans="1:9" x14ac:dyDescent="0.3">
      <c r="A143" s="6" t="s">
        <v>166</v>
      </c>
      <c r="B143" s="6" t="s">
        <v>253</v>
      </c>
      <c r="C143" s="11">
        <v>117570000000</v>
      </c>
      <c r="D143" s="11">
        <v>6870650000000</v>
      </c>
      <c r="E143" s="11">
        <v>1980040000000</v>
      </c>
      <c r="F143" s="11">
        <v>1601680000000</v>
      </c>
      <c r="G143" s="12">
        <f t="shared" si="10"/>
        <v>7249010000000</v>
      </c>
      <c r="H143" s="9">
        <f t="shared" si="11"/>
        <v>1.6218766424656608E-2</v>
      </c>
      <c r="I143" s="8">
        <f t="shared" si="12"/>
        <v>2</v>
      </c>
    </row>
    <row r="144" spans="1:9" x14ac:dyDescent="0.3">
      <c r="A144" s="6" t="s">
        <v>167</v>
      </c>
      <c r="B144" s="6" t="s">
        <v>253</v>
      </c>
      <c r="C144" s="11">
        <v>251145000000</v>
      </c>
      <c r="D144" s="11">
        <v>2921610000000</v>
      </c>
      <c r="E144" s="11">
        <v>281413000000</v>
      </c>
      <c r="F144" s="11">
        <v>1558050000000</v>
      </c>
      <c r="G144" s="12">
        <f t="shared" si="10"/>
        <v>1644973000000</v>
      </c>
      <c r="H144" s="9">
        <f t="shared" si="11"/>
        <v>0.15267423842215039</v>
      </c>
      <c r="I144" s="8">
        <f t="shared" si="12"/>
        <v>4</v>
      </c>
    </row>
    <row r="145" spans="1:9" x14ac:dyDescent="0.3">
      <c r="A145" s="6" t="s">
        <v>168</v>
      </c>
      <c r="B145" s="6" t="s">
        <v>253</v>
      </c>
      <c r="C145" s="11">
        <v>131993000000</v>
      </c>
      <c r="D145" s="11">
        <v>3588890000000</v>
      </c>
      <c r="E145" s="11">
        <v>1985431000</v>
      </c>
      <c r="F145" s="11">
        <v>363954000000</v>
      </c>
      <c r="G145" s="12">
        <f t="shared" si="10"/>
        <v>3226921431000</v>
      </c>
      <c r="H145" s="9">
        <f t="shared" si="11"/>
        <v>4.0903691900269261E-2</v>
      </c>
      <c r="I145" s="8">
        <f t="shared" si="12"/>
        <v>2</v>
      </c>
    </row>
    <row r="146" spans="1:9" x14ac:dyDescent="0.3">
      <c r="A146" s="6" t="s">
        <v>169</v>
      </c>
      <c r="B146" s="6" t="s">
        <v>253</v>
      </c>
      <c r="C146" s="11">
        <v>94291140540</v>
      </c>
      <c r="D146" s="11">
        <v>1199990000000</v>
      </c>
      <c r="E146" s="11">
        <v>1064900000000</v>
      </c>
      <c r="F146" s="11">
        <v>775331000000</v>
      </c>
      <c r="G146" s="12">
        <f t="shared" si="10"/>
        <v>1489559000000</v>
      </c>
      <c r="H146" s="9">
        <f t="shared" si="11"/>
        <v>6.330138016688161E-2</v>
      </c>
      <c r="I146" s="8">
        <f t="shared" si="12"/>
        <v>3</v>
      </c>
    </row>
    <row r="147" spans="1:9" x14ac:dyDescent="0.3">
      <c r="A147" s="6" t="s">
        <v>170</v>
      </c>
      <c r="B147" s="6" t="s">
        <v>253</v>
      </c>
      <c r="C147" s="11">
        <v>615530000000</v>
      </c>
      <c r="D147" s="11">
        <v>1964770000000</v>
      </c>
      <c r="E147" s="11">
        <v>2972180000000</v>
      </c>
      <c r="F147" s="11">
        <v>1414350000000</v>
      </c>
      <c r="G147" s="12">
        <f t="shared" si="10"/>
        <v>3522600000000</v>
      </c>
      <c r="H147" s="9">
        <f t="shared" si="11"/>
        <v>0.17473740986771136</v>
      </c>
      <c r="I147" s="8">
        <f t="shared" si="12"/>
        <v>4</v>
      </c>
    </row>
    <row r="148" spans="1:9" x14ac:dyDescent="0.3">
      <c r="A148" s="6" t="s">
        <v>213</v>
      </c>
      <c r="B148" s="6" t="s">
        <v>253</v>
      </c>
      <c r="C148" s="11">
        <v>236814000000</v>
      </c>
      <c r="D148" s="11">
        <v>1016710000000</v>
      </c>
      <c r="E148" s="11">
        <v>626408000000</v>
      </c>
      <c r="F148" s="11">
        <v>837397000000</v>
      </c>
      <c r="G148" s="12">
        <f t="shared" si="10"/>
        <v>805721000000</v>
      </c>
      <c r="H148" s="9">
        <f t="shared" si="11"/>
        <v>0.29391563580941787</v>
      </c>
      <c r="I148" s="8">
        <f t="shared" si="12"/>
        <v>4</v>
      </c>
    </row>
    <row r="149" spans="1:9" x14ac:dyDescent="0.3">
      <c r="A149" s="6" t="s">
        <v>171</v>
      </c>
      <c r="B149" s="6" t="s">
        <v>253</v>
      </c>
      <c r="C149" s="11">
        <v>12471001570</v>
      </c>
      <c r="D149" s="11">
        <v>2476210000000</v>
      </c>
      <c r="E149" s="11">
        <v>1352886000</v>
      </c>
      <c r="F149" s="11">
        <v>34452602000</v>
      </c>
      <c r="G149" s="12">
        <f t="shared" si="10"/>
        <v>2443110284000</v>
      </c>
      <c r="H149" s="9">
        <f t="shared" si="11"/>
        <v>5.1045594018710293E-3</v>
      </c>
      <c r="I149" s="8">
        <f t="shared" si="12"/>
        <v>1</v>
      </c>
    </row>
    <row r="150" spans="1:9" x14ac:dyDescent="0.3">
      <c r="A150" s="6" t="s">
        <v>172</v>
      </c>
      <c r="B150" s="6" t="s">
        <v>253</v>
      </c>
      <c r="C150" s="11">
        <v>394304000000</v>
      </c>
      <c r="D150" s="11">
        <v>1619380000000</v>
      </c>
      <c r="E150" s="11">
        <v>199444000000</v>
      </c>
      <c r="F150" s="11">
        <v>1488740000000</v>
      </c>
      <c r="G150" s="12">
        <f t="shared" si="10"/>
        <v>330084000000</v>
      </c>
      <c r="H150" s="9">
        <f t="shared" si="11"/>
        <v>1.1945565371238835</v>
      </c>
      <c r="I150" s="8">
        <f t="shared" si="12"/>
        <v>4</v>
      </c>
    </row>
    <row r="151" spans="1:9" x14ac:dyDescent="0.3">
      <c r="A151" s="6" t="s">
        <v>214</v>
      </c>
      <c r="B151" s="6" t="s">
        <v>253</v>
      </c>
      <c r="C151" s="11">
        <v>-14557301000</v>
      </c>
      <c r="D151" s="11">
        <v>2811450000000</v>
      </c>
      <c r="E151" s="11">
        <v>1974950000000</v>
      </c>
      <c r="F151" s="11">
        <v>1172290000000</v>
      </c>
      <c r="G151" s="12">
        <f t="shared" si="10"/>
        <v>3614110000000</v>
      </c>
      <c r="H151" s="9">
        <f t="shared" si="11"/>
        <v>-4.0279075623044121E-3</v>
      </c>
      <c r="I151" s="8">
        <f t="shared" si="12"/>
        <v>1</v>
      </c>
    </row>
    <row r="152" spans="1:9" x14ac:dyDescent="0.3">
      <c r="A152" s="6" t="s">
        <v>173</v>
      </c>
      <c r="B152" s="6" t="s">
        <v>253</v>
      </c>
      <c r="C152" s="11">
        <v>21809271950</v>
      </c>
      <c r="D152" s="11">
        <v>1283360000000</v>
      </c>
      <c r="E152" s="11">
        <v>775444000000</v>
      </c>
      <c r="F152" s="11">
        <v>560027000000</v>
      </c>
      <c r="G152" s="12">
        <f t="shared" si="10"/>
        <v>1498777000000</v>
      </c>
      <c r="H152" s="9">
        <f t="shared" si="11"/>
        <v>1.4551378857561865E-2</v>
      </c>
      <c r="I152" s="8">
        <f t="shared" si="12"/>
        <v>1</v>
      </c>
    </row>
    <row r="153" spans="1:9" x14ac:dyDescent="0.3">
      <c r="A153" s="6" t="s">
        <v>174</v>
      </c>
      <c r="B153" s="6" t="s">
        <v>253</v>
      </c>
      <c r="C153" s="11">
        <v>538474000000</v>
      </c>
      <c r="D153" s="11">
        <v>1671850000000</v>
      </c>
      <c r="E153" s="11">
        <v>1898590000000</v>
      </c>
      <c r="F153" s="11">
        <v>1572430000000</v>
      </c>
      <c r="G153" s="12">
        <f t="shared" si="10"/>
        <v>1998010000000</v>
      </c>
      <c r="H153" s="9">
        <f t="shared" si="11"/>
        <v>0.26950515763184368</v>
      </c>
      <c r="I153" s="8">
        <f t="shared" si="12"/>
        <v>4</v>
      </c>
    </row>
    <row r="154" spans="1:9" x14ac:dyDescent="0.3">
      <c r="A154" s="6" t="s">
        <v>175</v>
      </c>
      <c r="B154" s="6" t="s">
        <v>253</v>
      </c>
      <c r="C154" s="11">
        <v>135198000000</v>
      </c>
      <c r="D154" s="11">
        <v>1468180000000</v>
      </c>
      <c r="E154" s="11">
        <v>1175860000000</v>
      </c>
      <c r="F154" s="11">
        <v>327140000000</v>
      </c>
      <c r="G154" s="12">
        <f t="shared" si="10"/>
        <v>2316900000000</v>
      </c>
      <c r="H154" s="9">
        <f t="shared" si="11"/>
        <v>5.8352971643143854E-2</v>
      </c>
      <c r="I154" s="8">
        <f t="shared" si="12"/>
        <v>3</v>
      </c>
    </row>
    <row r="155" spans="1:9" x14ac:dyDescent="0.3">
      <c r="A155" s="6" t="s">
        <v>215</v>
      </c>
      <c r="B155" s="6" t="s">
        <v>253</v>
      </c>
      <c r="C155" s="6"/>
      <c r="D155" s="6">
        <v>3671590000000</v>
      </c>
      <c r="E155" s="6">
        <v>182750000000</v>
      </c>
      <c r="F155" s="6">
        <v>97357022500</v>
      </c>
      <c r="G155" s="8">
        <f t="shared" si="10"/>
        <v>3756982977500</v>
      </c>
      <c r="H155" s="9">
        <f t="shared" si="11"/>
        <v>0</v>
      </c>
      <c r="I155" s="8">
        <f t="shared" si="12"/>
        <v>1</v>
      </c>
    </row>
    <row r="156" spans="1:9" x14ac:dyDescent="0.3">
      <c r="A156" s="6" t="s">
        <v>176</v>
      </c>
      <c r="B156" s="6" t="s">
        <v>253</v>
      </c>
      <c r="C156" s="6">
        <v>39313000000</v>
      </c>
      <c r="D156" s="6">
        <v>2249030000000</v>
      </c>
      <c r="E156" s="6">
        <v>1208820000000</v>
      </c>
      <c r="F156" s="6">
        <v>3252710000000</v>
      </c>
      <c r="G156" s="8">
        <f t="shared" si="10"/>
        <v>205140000000</v>
      </c>
      <c r="H156" s="9">
        <f t="shared" si="11"/>
        <v>0.19163985570829678</v>
      </c>
      <c r="I156" s="8">
        <f t="shared" si="12"/>
        <v>4</v>
      </c>
    </row>
    <row r="157" spans="1:9" x14ac:dyDescent="0.3">
      <c r="A157" s="6" t="s">
        <v>177</v>
      </c>
      <c r="B157" s="6" t="s">
        <v>253</v>
      </c>
      <c r="C157" s="6">
        <v>-123894000000</v>
      </c>
      <c r="D157" s="6">
        <v>1182900000000</v>
      </c>
      <c r="E157" s="6">
        <v>211368000000</v>
      </c>
      <c r="F157" s="6">
        <v>467950000000</v>
      </c>
      <c r="G157" s="8">
        <f t="shared" si="10"/>
        <v>926318000000</v>
      </c>
      <c r="H157" s="9">
        <f t="shared" si="11"/>
        <v>-0.1337488853719781</v>
      </c>
      <c r="I157" s="8">
        <f t="shared" si="12"/>
        <v>0</v>
      </c>
    </row>
    <row r="158" spans="1:9" x14ac:dyDescent="0.3">
      <c r="A158" s="6" t="s">
        <v>216</v>
      </c>
      <c r="B158" s="6" t="s">
        <v>253</v>
      </c>
      <c r="C158" s="6">
        <v>-63674453870</v>
      </c>
      <c r="D158" s="6">
        <v>1324950000000</v>
      </c>
      <c r="E158" s="6">
        <v>50302747240</v>
      </c>
      <c r="F158" s="6">
        <v>1558750000000</v>
      </c>
      <c r="G158" s="8">
        <f t="shared" si="10"/>
        <v>-183497252760</v>
      </c>
      <c r="H158" s="9">
        <f t="shared" si="11"/>
        <v>-9.9999999999999997E+98</v>
      </c>
      <c r="I158" s="8">
        <f t="shared" si="12"/>
        <v>0</v>
      </c>
    </row>
    <row r="159" spans="1:9" x14ac:dyDescent="0.3">
      <c r="A159" s="6" t="s">
        <v>178</v>
      </c>
      <c r="B159" s="6" t="s">
        <v>253</v>
      </c>
      <c r="C159" s="6">
        <v>-183885000000</v>
      </c>
      <c r="D159" s="6">
        <v>1126780000000</v>
      </c>
      <c r="E159" s="6">
        <v>1509460000000</v>
      </c>
      <c r="F159" s="6">
        <v>896639000000</v>
      </c>
      <c r="G159" s="8">
        <f t="shared" si="10"/>
        <v>1739601000000</v>
      </c>
      <c r="H159" s="9">
        <f t="shared" si="11"/>
        <v>-0.10570527379554277</v>
      </c>
      <c r="I159" s="8">
        <f t="shared" si="12"/>
        <v>0</v>
      </c>
    </row>
    <row r="160" spans="1:9" x14ac:dyDescent="0.3">
      <c r="A160" s="6" t="s">
        <v>179</v>
      </c>
      <c r="B160" s="6" t="s">
        <v>253</v>
      </c>
      <c r="C160" s="6">
        <v>149829000000</v>
      </c>
      <c r="D160" s="6">
        <v>2241740000000</v>
      </c>
      <c r="E160" s="6">
        <v>2183650000000</v>
      </c>
      <c r="F160" s="6">
        <v>1267280000000</v>
      </c>
      <c r="G160" s="8">
        <f t="shared" si="10"/>
        <v>3158110000000</v>
      </c>
      <c r="H160" s="9">
        <f t="shared" si="11"/>
        <v>4.7442615995009672E-2</v>
      </c>
      <c r="I160" s="8">
        <f t="shared" si="12"/>
        <v>2</v>
      </c>
    </row>
    <row r="161" spans="1:9" x14ac:dyDescent="0.3">
      <c r="A161" s="6" t="s">
        <v>180</v>
      </c>
      <c r="B161" s="6" t="s">
        <v>253</v>
      </c>
      <c r="C161" s="6">
        <v>79425718430</v>
      </c>
      <c r="D161" s="6">
        <v>1135740000000</v>
      </c>
      <c r="E161" s="6">
        <v>1792520000000</v>
      </c>
      <c r="F161" s="6">
        <v>726329000000</v>
      </c>
      <c r="G161" s="8">
        <f t="shared" si="10"/>
        <v>2201931000000</v>
      </c>
      <c r="H161" s="9">
        <f t="shared" si="11"/>
        <v>3.6070938839591248E-2</v>
      </c>
      <c r="I161" s="8">
        <f t="shared" si="12"/>
        <v>2</v>
      </c>
    </row>
    <row r="162" spans="1:9" x14ac:dyDescent="0.3">
      <c r="A162" s="6" t="s">
        <v>181</v>
      </c>
      <c r="B162" s="6" t="s">
        <v>253</v>
      </c>
      <c r="C162" s="6">
        <v>70059021040</v>
      </c>
      <c r="D162" s="6">
        <v>2590400000000</v>
      </c>
      <c r="E162" s="6">
        <v>69692111600</v>
      </c>
      <c r="F162" s="6">
        <v>320794000000</v>
      </c>
      <c r="G162" s="8">
        <f t="shared" si="10"/>
        <v>2339298111600</v>
      </c>
      <c r="H162" s="9">
        <f t="shared" si="11"/>
        <v>2.9948735773604341E-2</v>
      </c>
      <c r="I162" s="8">
        <f t="shared" si="12"/>
        <v>2</v>
      </c>
    </row>
    <row r="163" spans="1:9" x14ac:dyDescent="0.3">
      <c r="A163" s="6" t="s">
        <v>182</v>
      </c>
      <c r="B163" s="6" t="s">
        <v>253</v>
      </c>
      <c r="C163" s="6">
        <v>233458000000</v>
      </c>
      <c r="D163" s="6">
        <v>1293700000000</v>
      </c>
      <c r="E163" s="6">
        <v>24565246410</v>
      </c>
      <c r="F163" s="6">
        <v>810902000000</v>
      </c>
      <c r="G163" s="8">
        <f t="shared" si="10"/>
        <v>507363246410</v>
      </c>
      <c r="H163" s="9">
        <f t="shared" si="11"/>
        <v>0.4601397551988673</v>
      </c>
      <c r="I163" s="8">
        <f t="shared" si="12"/>
        <v>4</v>
      </c>
    </row>
    <row r="164" spans="1:9" x14ac:dyDescent="0.3">
      <c r="A164" s="6" t="s">
        <v>183</v>
      </c>
      <c r="B164" s="6" t="s">
        <v>253</v>
      </c>
      <c r="C164" s="6">
        <v>38825955770</v>
      </c>
      <c r="D164" s="6">
        <v>1063730000000</v>
      </c>
      <c r="E164" s="6">
        <v>312042000000</v>
      </c>
      <c r="F164" s="6">
        <v>434583000000</v>
      </c>
      <c r="G164" s="8">
        <f t="shared" si="10"/>
        <v>941189000000</v>
      </c>
      <c r="H164" s="9">
        <f t="shared" si="11"/>
        <v>4.1252028837991096E-2</v>
      </c>
      <c r="I164" s="8">
        <f t="shared" si="12"/>
        <v>2</v>
      </c>
    </row>
    <row r="165" spans="1:9" x14ac:dyDescent="0.3">
      <c r="A165" s="6" t="s">
        <v>184</v>
      </c>
      <c r="B165" s="6" t="s">
        <v>253</v>
      </c>
      <c r="C165" s="6">
        <v>-178710000000</v>
      </c>
      <c r="D165" s="6">
        <v>1027550000000</v>
      </c>
      <c r="E165" s="6">
        <v>1912640000000</v>
      </c>
      <c r="F165" s="6">
        <v>1825780000000</v>
      </c>
      <c r="G165" s="8">
        <f t="shared" si="10"/>
        <v>1114410000000</v>
      </c>
      <c r="H165" s="9">
        <f t="shared" si="11"/>
        <v>-0.16036288260155598</v>
      </c>
      <c r="I165" s="8">
        <f t="shared" si="12"/>
        <v>0</v>
      </c>
    </row>
    <row r="166" spans="1:9" x14ac:dyDescent="0.3">
      <c r="A166" s="6" t="s">
        <v>185</v>
      </c>
      <c r="B166" s="6" t="s">
        <v>253</v>
      </c>
      <c r="C166" s="6">
        <v>129992000000</v>
      </c>
      <c r="D166" s="6">
        <v>1790520000000</v>
      </c>
      <c r="E166" s="6">
        <v>170898000000</v>
      </c>
      <c r="F166" s="6">
        <v>848753000000</v>
      </c>
      <c r="G166" s="8">
        <f t="shared" si="10"/>
        <v>1112665000000</v>
      </c>
      <c r="H166" s="9">
        <f t="shared" si="11"/>
        <v>0.1168294140644309</v>
      </c>
      <c r="I166" s="8">
        <f t="shared" si="12"/>
        <v>3</v>
      </c>
    </row>
    <row r="167" spans="1:9" x14ac:dyDescent="0.3">
      <c r="A167" s="6" t="s">
        <v>217</v>
      </c>
      <c r="B167" s="6" t="s">
        <v>253</v>
      </c>
      <c r="C167" s="6">
        <v>72885091890</v>
      </c>
      <c r="D167" s="6">
        <v>914760000000</v>
      </c>
      <c r="E167" s="6">
        <v>307669000000</v>
      </c>
      <c r="F167" s="6">
        <v>777886000000</v>
      </c>
      <c r="G167" s="8">
        <f t="shared" si="10"/>
        <v>444543000000</v>
      </c>
      <c r="H167" s="9">
        <f t="shared" si="11"/>
        <v>0.16395509970913949</v>
      </c>
      <c r="I167" s="8">
        <f t="shared" si="12"/>
        <v>4</v>
      </c>
    </row>
    <row r="168" spans="1:9" x14ac:dyDescent="0.3">
      <c r="A168" s="6" t="s">
        <v>218</v>
      </c>
      <c r="B168" s="6" t="s">
        <v>253</v>
      </c>
      <c r="C168" s="6">
        <v>-664225000000</v>
      </c>
      <c r="D168" s="6">
        <v>993998000000</v>
      </c>
      <c r="E168" s="6">
        <v>2417120000000</v>
      </c>
      <c r="F168" s="6">
        <v>1249000000000</v>
      </c>
      <c r="G168" s="8">
        <f t="shared" si="10"/>
        <v>2162118000000</v>
      </c>
      <c r="H168" s="9">
        <f t="shared" si="11"/>
        <v>-0.30721033727113878</v>
      </c>
      <c r="I168" s="8">
        <f t="shared" si="12"/>
        <v>0</v>
      </c>
    </row>
    <row r="169" spans="1:9" x14ac:dyDescent="0.3">
      <c r="A169" s="6" t="s">
        <v>186</v>
      </c>
      <c r="B169" s="6" t="s">
        <v>253</v>
      </c>
      <c r="C169" s="6">
        <v>218372000000</v>
      </c>
      <c r="D169" s="6">
        <v>1498350000000</v>
      </c>
      <c r="E169" s="6">
        <v>5637510000000</v>
      </c>
      <c r="F169" s="6">
        <v>1902570000000</v>
      </c>
      <c r="G169" s="8">
        <f t="shared" ref="G169:G186" si="13">D169+E169-F169</f>
        <v>5233290000000</v>
      </c>
      <c r="H169" s="9">
        <f t="shared" ref="H169:H186" si="14">IFERROR(IF(G169&lt;=0,-1E+99,C169/G169),NA())</f>
        <v>4.1727479272121365E-2</v>
      </c>
      <c r="I169" s="8">
        <f t="shared" si="12"/>
        <v>2</v>
      </c>
    </row>
    <row r="170" spans="1:9" x14ac:dyDescent="0.3">
      <c r="A170" s="6" t="s">
        <v>219</v>
      </c>
      <c r="B170" s="6" t="s">
        <v>253</v>
      </c>
      <c r="C170" s="6">
        <v>85509694530</v>
      </c>
      <c r="D170" s="6">
        <v>814655000000</v>
      </c>
      <c r="E170" s="6">
        <v>490732000000</v>
      </c>
      <c r="F170" s="6">
        <v>425512000000</v>
      </c>
      <c r="G170" s="8">
        <f t="shared" si="13"/>
        <v>879875000000</v>
      </c>
      <c r="H170" s="9">
        <f t="shared" si="14"/>
        <v>9.7183911953402466E-2</v>
      </c>
      <c r="I170" s="8">
        <f t="shared" si="12"/>
        <v>3</v>
      </c>
    </row>
    <row r="171" spans="1:9" x14ac:dyDescent="0.3">
      <c r="A171" s="6" t="s">
        <v>187</v>
      </c>
      <c r="B171" s="6" t="s">
        <v>253</v>
      </c>
      <c r="C171" s="6">
        <v>184517000000</v>
      </c>
      <c r="D171" s="6">
        <v>2817920000000</v>
      </c>
      <c r="E171" s="6">
        <v>2721700000000</v>
      </c>
      <c r="F171" s="6">
        <v>1304030000000</v>
      </c>
      <c r="G171" s="8">
        <f t="shared" si="13"/>
        <v>4235590000000</v>
      </c>
      <c r="H171" s="9">
        <f t="shared" si="14"/>
        <v>4.3563470496436149E-2</v>
      </c>
      <c r="I171" s="8">
        <f t="shared" si="12"/>
        <v>2</v>
      </c>
    </row>
    <row r="172" spans="1:9" x14ac:dyDescent="0.3">
      <c r="A172" s="6" t="s">
        <v>188</v>
      </c>
      <c r="B172" s="6" t="s">
        <v>253</v>
      </c>
      <c r="C172" s="6">
        <v>96554544470</v>
      </c>
      <c r="D172" s="6">
        <v>745979000000</v>
      </c>
      <c r="E172" s="6">
        <v>71377869100</v>
      </c>
      <c r="F172" s="6">
        <v>192664000000</v>
      </c>
      <c r="G172" s="8">
        <f t="shared" si="13"/>
        <v>624692869100</v>
      </c>
      <c r="H172" s="9">
        <f t="shared" si="14"/>
        <v>0.15456322497983194</v>
      </c>
      <c r="I172" s="8">
        <f t="shared" si="12"/>
        <v>4</v>
      </c>
    </row>
    <row r="173" spans="1:9" x14ac:dyDescent="0.3">
      <c r="A173" s="6" t="s">
        <v>189</v>
      </c>
      <c r="B173" s="6" t="s">
        <v>253</v>
      </c>
      <c r="C173" s="6">
        <v>246504000000</v>
      </c>
      <c r="D173" s="6">
        <v>885774000000</v>
      </c>
      <c r="E173" s="6">
        <v>4154520000000</v>
      </c>
      <c r="F173" s="6">
        <v>481168000000</v>
      </c>
      <c r="G173" s="8">
        <f t="shared" si="13"/>
        <v>4559126000000</v>
      </c>
      <c r="H173" s="9">
        <f t="shared" si="14"/>
        <v>5.4068257819590862E-2</v>
      </c>
      <c r="I173" s="8">
        <f t="shared" si="12"/>
        <v>3</v>
      </c>
    </row>
    <row r="174" spans="1:9" x14ac:dyDescent="0.3">
      <c r="A174" s="6" t="s">
        <v>190</v>
      </c>
      <c r="B174" s="6" t="s">
        <v>253</v>
      </c>
      <c r="C174" s="6">
        <v>-1119881360</v>
      </c>
      <c r="D174" s="6">
        <v>1207350000000</v>
      </c>
      <c r="E174" s="6">
        <v>2141270000000</v>
      </c>
      <c r="F174" s="6">
        <v>654680000000</v>
      </c>
      <c r="G174" s="8">
        <f t="shared" si="13"/>
        <v>2693940000000</v>
      </c>
      <c r="H174" s="9">
        <f t="shared" si="14"/>
        <v>-4.1570389837932543E-4</v>
      </c>
      <c r="I174" s="8">
        <f t="shared" si="12"/>
        <v>1</v>
      </c>
    </row>
    <row r="175" spans="1:9" x14ac:dyDescent="0.3">
      <c r="A175" s="6" t="s">
        <v>220</v>
      </c>
      <c r="B175" s="6" t="s">
        <v>253</v>
      </c>
      <c r="C175" s="6">
        <v>11818219060</v>
      </c>
      <c r="D175" s="6">
        <v>721050000000</v>
      </c>
      <c r="E175" s="6">
        <v>165468060</v>
      </c>
      <c r="F175" s="6">
        <v>101024000000</v>
      </c>
      <c r="G175" s="8">
        <f t="shared" si="13"/>
        <v>620191468060</v>
      </c>
      <c r="H175" s="9">
        <f t="shared" si="14"/>
        <v>1.9055758856161262E-2</v>
      </c>
      <c r="I175" s="8">
        <f t="shared" si="12"/>
        <v>2</v>
      </c>
    </row>
    <row r="176" spans="1:9" x14ac:dyDescent="0.3">
      <c r="A176" s="6" t="s">
        <v>191</v>
      </c>
      <c r="B176" s="6" t="s">
        <v>253</v>
      </c>
      <c r="C176" s="6">
        <v>-25731404190</v>
      </c>
      <c r="D176" s="6">
        <v>2707590000000</v>
      </c>
      <c r="E176" s="6">
        <v>1181910000000</v>
      </c>
      <c r="F176" s="6">
        <v>752338000000</v>
      </c>
      <c r="G176" s="8">
        <f t="shared" si="13"/>
        <v>3137162000000</v>
      </c>
      <c r="H176" s="9">
        <f t="shared" si="14"/>
        <v>-8.2021279710770435E-3</v>
      </c>
      <c r="I176" s="8">
        <f t="shared" si="12"/>
        <v>1</v>
      </c>
    </row>
    <row r="177" spans="1:9" x14ac:dyDescent="0.3">
      <c r="A177" s="6" t="s">
        <v>221</v>
      </c>
      <c r="B177" s="6" t="s">
        <v>253</v>
      </c>
      <c r="C177" s="6">
        <v>-132998000000</v>
      </c>
      <c r="D177" s="6">
        <v>1213260000000</v>
      </c>
      <c r="E177" s="6">
        <v>674105000000</v>
      </c>
      <c r="F177" s="6">
        <v>705421000000</v>
      </c>
      <c r="G177" s="8">
        <f t="shared" si="13"/>
        <v>1181944000000</v>
      </c>
      <c r="H177" s="9">
        <f t="shared" si="14"/>
        <v>-0.11252478966854605</v>
      </c>
      <c r="I177" s="8">
        <f t="shared" si="12"/>
        <v>0</v>
      </c>
    </row>
    <row r="178" spans="1:9" x14ac:dyDescent="0.3">
      <c r="A178" s="6" t="s">
        <v>222</v>
      </c>
      <c r="B178" s="6" t="s">
        <v>253</v>
      </c>
      <c r="C178" s="6">
        <v>-116008000000</v>
      </c>
      <c r="D178" s="6">
        <v>656514000000</v>
      </c>
      <c r="E178" s="6">
        <v>1585310000000</v>
      </c>
      <c r="F178" s="6">
        <v>754127000000</v>
      </c>
      <c r="G178" s="8">
        <f t="shared" si="13"/>
        <v>1487697000000</v>
      </c>
      <c r="H178" s="9">
        <f t="shared" si="14"/>
        <v>-7.7978244225806737E-2</v>
      </c>
      <c r="I178" s="8">
        <f t="shared" si="12"/>
        <v>0</v>
      </c>
    </row>
    <row r="179" spans="1:9" x14ac:dyDescent="0.3">
      <c r="A179" s="6" t="s">
        <v>223</v>
      </c>
      <c r="B179" s="6" t="s">
        <v>253</v>
      </c>
      <c r="C179" s="6">
        <v>-18769790070</v>
      </c>
      <c r="D179" s="6">
        <v>638600000000</v>
      </c>
      <c r="E179" s="6">
        <v>275199000000</v>
      </c>
      <c r="F179" s="6">
        <v>136577000000</v>
      </c>
      <c r="G179" s="8">
        <f t="shared" si="13"/>
        <v>777222000000</v>
      </c>
      <c r="H179" s="9">
        <f t="shared" si="14"/>
        <v>-2.4149844021399292E-2</v>
      </c>
      <c r="I179" s="8">
        <f t="shared" si="12"/>
        <v>0</v>
      </c>
    </row>
    <row r="180" spans="1:9" x14ac:dyDescent="0.3">
      <c r="A180" s="6" t="s">
        <v>224</v>
      </c>
      <c r="B180" s="6" t="s">
        <v>253</v>
      </c>
      <c r="C180" s="6">
        <v>40040573920</v>
      </c>
      <c r="D180" s="6">
        <v>612500000000</v>
      </c>
      <c r="E180" s="6">
        <v>34576038490</v>
      </c>
      <c r="F180" s="6">
        <v>250798000000</v>
      </c>
      <c r="G180" s="8">
        <f t="shared" si="13"/>
        <v>396278038490</v>
      </c>
      <c r="H180" s="9">
        <f t="shared" si="14"/>
        <v>0.10104161732649339</v>
      </c>
      <c r="I180" s="8">
        <f t="shared" si="12"/>
        <v>3</v>
      </c>
    </row>
    <row r="181" spans="1:9" x14ac:dyDescent="0.3">
      <c r="A181" s="6" t="s">
        <v>225</v>
      </c>
      <c r="B181" s="6" t="s">
        <v>253</v>
      </c>
      <c r="C181" s="6">
        <v>-11233493100</v>
      </c>
      <c r="D181" s="6">
        <v>717214000000</v>
      </c>
      <c r="E181" s="6">
        <v>1449100000000</v>
      </c>
      <c r="F181" s="6">
        <v>1078890000000</v>
      </c>
      <c r="G181" s="8">
        <f t="shared" si="13"/>
        <v>1087424000000</v>
      </c>
      <c r="H181" s="9">
        <f t="shared" si="14"/>
        <v>-1.0330370766140897E-2</v>
      </c>
      <c r="I181" s="8">
        <f t="shared" si="12"/>
        <v>1</v>
      </c>
    </row>
    <row r="182" spans="1:9" x14ac:dyDescent="0.3">
      <c r="A182" s="6" t="s">
        <v>226</v>
      </c>
      <c r="B182" s="6" t="s">
        <v>253</v>
      </c>
      <c r="C182" s="6">
        <v>98307885170</v>
      </c>
      <c r="D182" s="6">
        <v>772197000000</v>
      </c>
      <c r="E182" s="6">
        <v>66450457360</v>
      </c>
      <c r="F182" s="6">
        <v>340817000000</v>
      </c>
      <c r="G182" s="8">
        <f t="shared" si="13"/>
        <v>497830457360</v>
      </c>
      <c r="H182" s="9">
        <f t="shared" si="14"/>
        <v>0.19747262088247416</v>
      </c>
      <c r="I182" s="8">
        <f t="shared" si="12"/>
        <v>4</v>
      </c>
    </row>
    <row r="183" spans="1:9" x14ac:dyDescent="0.3">
      <c r="A183" s="6" t="s">
        <v>227</v>
      </c>
      <c r="B183" s="6" t="s">
        <v>253</v>
      </c>
      <c r="C183" s="6">
        <v>-3071206000</v>
      </c>
      <c r="D183" s="6">
        <v>557949000000</v>
      </c>
      <c r="E183" s="6">
        <v>798665000000</v>
      </c>
      <c r="F183" s="6">
        <v>584498000000</v>
      </c>
      <c r="G183" s="8">
        <f t="shared" si="13"/>
        <v>772116000000</v>
      </c>
      <c r="H183" s="9">
        <f t="shared" si="14"/>
        <v>-3.977648436245331E-3</v>
      </c>
      <c r="I183" s="8">
        <f t="shared" si="12"/>
        <v>1</v>
      </c>
    </row>
    <row r="184" spans="1:9" x14ac:dyDescent="0.3">
      <c r="A184" s="6" t="s">
        <v>192</v>
      </c>
      <c r="B184" s="6" t="s">
        <v>253</v>
      </c>
      <c r="C184" s="6">
        <v>190351000000</v>
      </c>
      <c r="D184" s="6">
        <v>1177150000000</v>
      </c>
      <c r="E184" s="6">
        <v>302367000000</v>
      </c>
      <c r="F184" s="6">
        <v>549083000000</v>
      </c>
      <c r="G184" s="8">
        <f t="shared" si="13"/>
        <v>930434000000</v>
      </c>
      <c r="H184" s="9">
        <f t="shared" si="14"/>
        <v>0.20458302254646757</v>
      </c>
      <c r="I184" s="8">
        <f t="shared" si="12"/>
        <v>4</v>
      </c>
    </row>
    <row r="185" spans="1:9" x14ac:dyDescent="0.3">
      <c r="A185" s="6" t="s">
        <v>228</v>
      </c>
      <c r="B185" s="6" t="s">
        <v>253</v>
      </c>
      <c r="C185" s="6">
        <v>-59763559200</v>
      </c>
      <c r="D185" s="6">
        <v>681746000000</v>
      </c>
      <c r="E185" s="6">
        <v>425913000000</v>
      </c>
      <c r="F185" s="6">
        <v>153593000000</v>
      </c>
      <c r="G185" s="8">
        <f t="shared" si="13"/>
        <v>954066000000</v>
      </c>
      <c r="H185" s="9">
        <f t="shared" si="14"/>
        <v>-6.264090660394564E-2</v>
      </c>
      <c r="I185" s="8">
        <f t="shared" si="12"/>
        <v>0</v>
      </c>
    </row>
    <row r="186" spans="1:9" x14ac:dyDescent="0.3">
      <c r="A186" s="6" t="s">
        <v>229</v>
      </c>
      <c r="B186" s="6" t="s">
        <v>253</v>
      </c>
      <c r="C186" s="6">
        <v>13964053940</v>
      </c>
      <c r="D186" s="6">
        <v>1420060000000</v>
      </c>
      <c r="E186" s="6">
        <v>399140000000</v>
      </c>
      <c r="F186" s="6">
        <v>217257000000</v>
      </c>
      <c r="G186" s="8">
        <f t="shared" si="13"/>
        <v>1601943000000</v>
      </c>
      <c r="H186" s="9">
        <f t="shared" si="14"/>
        <v>8.7169480686890861E-3</v>
      </c>
      <c r="I186" s="8">
        <f t="shared" si="12"/>
        <v>1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0447-FD14-4E5E-BC38-C6322D22345A}">
  <dimension ref="A1:E27"/>
  <sheetViews>
    <sheetView showGridLines="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B22" sqref="B22"/>
    </sheetView>
  </sheetViews>
  <sheetFormatPr defaultRowHeight="16.5" x14ac:dyDescent="0.3"/>
  <cols>
    <col min="1" max="1" width="14.625" customWidth="1"/>
    <col min="2" max="2" width="32.375" bestFit="1" customWidth="1"/>
    <col min="3" max="4" width="20.5" bestFit="1" customWidth="1"/>
    <col min="5" max="5" width="21.75" bestFit="1" customWidth="1"/>
  </cols>
  <sheetData>
    <row r="1" spans="1:5" ht="15" customHeight="1" x14ac:dyDescent="0.3">
      <c r="A1" s="19" t="s">
        <v>255</v>
      </c>
      <c r="B1" t="s">
        <v>278</v>
      </c>
    </row>
    <row r="2" spans="1:5" x14ac:dyDescent="0.3">
      <c r="A2" s="20">
        <v>0</v>
      </c>
    </row>
    <row r="3" spans="1:5" x14ac:dyDescent="0.3">
      <c r="A3" s="22" t="s">
        <v>256</v>
      </c>
    </row>
    <row r="4" spans="1:5" x14ac:dyDescent="0.3">
      <c r="A4" s="24" t="s">
        <v>262</v>
      </c>
      <c r="B4" s="24" t="s">
        <v>257</v>
      </c>
      <c r="C4" s="24" t="s">
        <v>258</v>
      </c>
      <c r="D4" s="24">
        <v>0</v>
      </c>
    </row>
    <row r="5" spans="1:5" x14ac:dyDescent="0.3">
      <c r="A5" s="23" t="s">
        <v>263</v>
      </c>
      <c r="B5" s="23">
        <v>20250528</v>
      </c>
      <c r="C5" s="23" t="s">
        <v>259</v>
      </c>
      <c r="D5" s="23">
        <v>0</v>
      </c>
    </row>
    <row r="6" spans="1:5" x14ac:dyDescent="0.3">
      <c r="A6" s="25" t="s">
        <v>264</v>
      </c>
      <c r="B6" s="25" t="s">
        <v>265</v>
      </c>
      <c r="C6" s="25"/>
      <c r="D6" s="25">
        <v>0</v>
      </c>
    </row>
    <row r="8" spans="1:5" x14ac:dyDescent="0.3">
      <c r="A8" s="30" t="s">
        <v>270</v>
      </c>
      <c r="B8" s="32" t="s">
        <v>12</v>
      </c>
      <c r="C8" s="26" t="s">
        <v>12</v>
      </c>
      <c r="D8" s="26" t="s">
        <v>12</v>
      </c>
      <c r="E8" s="26" t="s">
        <v>12</v>
      </c>
    </row>
    <row r="9" spans="1:5" x14ac:dyDescent="0.3">
      <c r="A9" s="31" t="s">
        <v>271</v>
      </c>
      <c r="B9" s="33" t="s">
        <v>275</v>
      </c>
      <c r="C9" s="38" t="s">
        <v>275</v>
      </c>
      <c r="D9" s="38" t="s">
        <v>275</v>
      </c>
      <c r="E9" s="38" t="s">
        <v>275</v>
      </c>
    </row>
    <row r="10" spans="1:5" x14ac:dyDescent="0.3">
      <c r="A10" s="27" t="s">
        <v>272</v>
      </c>
      <c r="B10" s="21" t="s">
        <v>260</v>
      </c>
      <c r="C10" t="s">
        <v>266</v>
      </c>
      <c r="D10" t="s">
        <v>267</v>
      </c>
      <c r="E10" t="s">
        <v>268</v>
      </c>
    </row>
    <row r="11" spans="1:5" x14ac:dyDescent="0.3">
      <c r="A11" s="27" t="s">
        <v>273</v>
      </c>
      <c r="B11" s="21" t="s">
        <v>261</v>
      </c>
      <c r="C11" s="21" t="s">
        <v>261</v>
      </c>
      <c r="D11" s="21" t="s">
        <v>261</v>
      </c>
      <c r="E11" s="21" t="s">
        <v>261</v>
      </c>
    </row>
    <row r="12" spans="1:5" x14ac:dyDescent="0.3">
      <c r="A12" s="27" t="s">
        <v>274</v>
      </c>
      <c r="B12" s="21"/>
      <c r="D12" t="s">
        <v>277</v>
      </c>
      <c r="E12" t="s">
        <v>277</v>
      </c>
    </row>
    <row r="13" spans="1:5" x14ac:dyDescent="0.3">
      <c r="A13" s="31"/>
      <c r="B13" s="34"/>
      <c r="C13" s="37"/>
      <c r="D13" s="37"/>
      <c r="E13" s="37"/>
    </row>
    <row r="14" spans="1:5" x14ac:dyDescent="0.3">
      <c r="A14" s="35" t="s">
        <v>269</v>
      </c>
      <c r="B14" s="36" t="s">
        <v>276</v>
      </c>
      <c r="C14" s="38" t="s">
        <v>279</v>
      </c>
      <c r="D14" s="38" t="s">
        <v>280</v>
      </c>
      <c r="E14" s="38" t="s">
        <v>281</v>
      </c>
    </row>
    <row r="15" spans="1:5" x14ac:dyDescent="0.3">
      <c r="A15" s="28">
        <v>45807</v>
      </c>
      <c r="B15" s="29">
        <v>332683651216400</v>
      </c>
      <c r="C15" s="29">
        <v>27584518000000</v>
      </c>
      <c r="D15" s="29">
        <v>11143948000000</v>
      </c>
      <c r="E15" s="29">
        <v>169435929000000</v>
      </c>
    </row>
    <row r="16" spans="1:5" x14ac:dyDescent="0.3">
      <c r="A16" s="28">
        <v>45838</v>
      </c>
      <c r="B16" s="29">
        <v>353994347735600</v>
      </c>
      <c r="C16" s="29">
        <v>27584518000000</v>
      </c>
      <c r="D16" s="29">
        <v>11143948000000</v>
      </c>
      <c r="E16" s="29">
        <v>169435929000000</v>
      </c>
    </row>
    <row r="17" spans="1:5" x14ac:dyDescent="0.3">
      <c r="A17" s="28">
        <v>45869</v>
      </c>
      <c r="B17" s="29">
        <v>422662147630800</v>
      </c>
      <c r="C17" s="29">
        <v>26954441000000</v>
      </c>
      <c r="D17" s="29">
        <v>14029673000000</v>
      </c>
      <c r="E17" s="29">
        <v>161095683000000</v>
      </c>
    </row>
    <row r="18" spans="1:5" x14ac:dyDescent="0.3">
      <c r="A18" s="28">
        <v>45898</v>
      </c>
      <c r="B18" s="29">
        <v>412598763163400</v>
      </c>
      <c r="C18" s="29">
        <v>26954441000000</v>
      </c>
      <c r="D18" s="29">
        <v>14029673000000</v>
      </c>
      <c r="E18" s="29">
        <v>161095683000000</v>
      </c>
    </row>
    <row r="19" spans="1:5" x14ac:dyDescent="0.3">
      <c r="A19" s="28">
        <v>45930</v>
      </c>
      <c r="B19" s="29">
        <v>496657621655800</v>
      </c>
      <c r="C19" s="29">
        <v>26954441000000</v>
      </c>
      <c r="D19" s="29">
        <v>14029673000000</v>
      </c>
      <c r="E19" s="29">
        <v>161095683000000</v>
      </c>
    </row>
    <row r="20" spans="1:5" x14ac:dyDescent="0.3">
      <c r="A20" s="28">
        <v>45961</v>
      </c>
      <c r="B20" s="29">
        <v>636361076615000</v>
      </c>
      <c r="C20" s="29">
        <v>27479332000000</v>
      </c>
      <c r="D20" s="29">
        <v>16672280000000</v>
      </c>
      <c r="E20" s="29">
        <v>178552233000000</v>
      </c>
    </row>
    <row r="21" spans="1:5" x14ac:dyDescent="0.3">
      <c r="A21" s="28">
        <v>45989</v>
      </c>
      <c r="B21" s="29">
        <v>594923611161000</v>
      </c>
      <c r="C21" s="29">
        <v>27479332000000</v>
      </c>
      <c r="D21" s="29">
        <v>16672280000000</v>
      </c>
      <c r="E21" s="29">
        <v>178552233000000</v>
      </c>
    </row>
    <row r="22" spans="1:5" x14ac:dyDescent="0.3">
      <c r="A22" s="28">
        <v>46021</v>
      </c>
      <c r="B22" s="29">
        <v>709764586847800</v>
      </c>
      <c r="C22" s="39">
        <v>27479332000000</v>
      </c>
      <c r="D22" s="39">
        <v>16672280000000</v>
      </c>
      <c r="E22" s="39">
        <v>178552233000000</v>
      </c>
    </row>
    <row r="23" spans="1:5" x14ac:dyDescent="0.3">
      <c r="A23" s="28">
        <v>46052</v>
      </c>
      <c r="B23" s="29">
        <v>950101886481000</v>
      </c>
      <c r="C23" s="29">
        <v>37792969000000</v>
      </c>
      <c r="D23" s="29">
        <v>25239139000000</v>
      </c>
      <c r="E23" s="29">
        <v>195022069000000</v>
      </c>
    </row>
    <row r="24" spans="1:5" x14ac:dyDescent="0.3">
      <c r="A24" s="28">
        <v>46080</v>
      </c>
      <c r="B24" s="29">
        <v>1281601610113000</v>
      </c>
      <c r="C24" s="29">
        <v>37792969000000</v>
      </c>
      <c r="D24" s="29">
        <v>25239139000000</v>
      </c>
      <c r="E24" s="29">
        <v>195022069000000</v>
      </c>
    </row>
    <row r="25" spans="1:5" x14ac:dyDescent="0.3">
      <c r="A25" s="28">
        <v>46112</v>
      </c>
      <c r="B25" s="29">
        <v>989763460558400</v>
      </c>
      <c r="C25" s="29">
        <v>37792969000000</v>
      </c>
      <c r="D25" s="29">
        <v>25239139000000</v>
      </c>
      <c r="E25" s="29">
        <v>195022069000000</v>
      </c>
    </row>
    <row r="26" spans="1:5" x14ac:dyDescent="0.3">
      <c r="A26" s="28">
        <v>46142</v>
      </c>
      <c r="B26" s="39">
        <v>1289104433064000</v>
      </c>
      <c r="C26" s="29">
        <v>56487140000000</v>
      </c>
      <c r="D26" s="29">
        <v>28138794000000</v>
      </c>
      <c r="E26" s="29">
        <v>247918464000000</v>
      </c>
    </row>
    <row r="27" spans="1:5" x14ac:dyDescent="0.3">
      <c r="A27" s="28">
        <v>46169</v>
      </c>
      <c r="B27" s="29">
        <v>1794807532656000</v>
      </c>
      <c r="C27" s="29">
        <v>56487140000000</v>
      </c>
      <c r="D27" s="29">
        <v>28138794000000</v>
      </c>
      <c r="E27" s="29">
        <v>247918464000000</v>
      </c>
    </row>
  </sheetData>
  <phoneticPr fontId="5" type="noConversion"/>
  <hyperlinks>
    <hyperlink ref="A1" tooltip="Quantiwise7G" display="     Refresh     " xr:uid="{96642EE9-1D85-4CE3-AF3D-F1D11E247B77}"/>
  </hyperlink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price_momentum</vt:lpstr>
      <vt:lpstr>earnings_momentum</vt:lpstr>
      <vt:lpstr>dividend_yield</vt:lpstr>
      <vt:lpstr>retail_flow</vt:lpstr>
      <vt:lpstr>value</vt:lpstr>
      <vt:lpstr>qw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CHECK</cp:lastModifiedBy>
  <dcterms:created xsi:type="dcterms:W3CDTF">2026-05-28T05:54:13Z</dcterms:created>
  <dcterms:modified xsi:type="dcterms:W3CDTF">2026-05-28T06:26:14Z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tGxfeTKq5N3tcg0sdzqQMg==</vt:lpwstr>
  </property>
  <property fmtid="{D5CDD505-2E9C-101B-9397-08002B2CF9AE}" pid="3" name="AST date">
    <vt:lpwstr>20260528152329</vt:lpwstr>
  </property>
</Properties>
</file>